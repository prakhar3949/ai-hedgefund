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Metrics" sheetId="1" state="visible" r:id="rId1"/>
    <sheet xmlns:r="http://schemas.openxmlformats.org/officeDocument/2006/relationships" name="Quarterly Metrics" sheetId="2" state="visible" r:id="rId2"/>
    <sheet xmlns:r="http://schemas.openxmlformats.org/officeDocument/2006/relationships" name="AI Cost Crossover" sheetId="3" state="visible" r:id="rId3"/>
    <sheet xmlns:r="http://schemas.openxmlformats.org/officeDocument/2006/relationships" name="Thesis Dashboard" sheetId="4" state="visible" r:id="rId4"/>
    <sheet xmlns:r="http://schemas.openxmlformats.org/officeDocument/2006/relationships" name="Data 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$#,##0.000"/>
    <numFmt numFmtId="166" formatCode="0.0%"/>
    <numFmt numFmtId="167" formatCode="$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C3E6B"/>
      </patternFill>
    </fill>
    <fill>
      <patternFill patternType="solid">
        <fgColor rgb="003A5BA0"/>
      </patternFill>
    </fill>
    <fill>
      <patternFill patternType="solid">
        <fgColor rgb="00F5F7FC"/>
      </patternFill>
    </fill>
    <fill>
      <patternFill patternType="solid">
        <fgColor rgb="00FFF9E6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pivotButton="0" quotePrefix="0" xfId="0"/>
    <xf numFmtId="0" fontId="5" fillId="6" borderId="1" pivotButton="0" quotePrefix="0" xfId="0"/>
    <xf numFmtId="0" fontId="0" fillId="0" borderId="1" pivotButton="0" quotePrefix="0" xfId="0"/>
    <xf numFmtId="164" fontId="4" fillId="5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166" fontId="4" fillId="5" borderId="1" applyAlignment="1" pivotButton="0" quotePrefix="0" xfId="0">
      <alignment horizontal="center" vertical="center" wrapText="1"/>
    </xf>
    <xf numFmtId="167" fontId="4" fillId="5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6B"/>
    <outlinePr summaryBelow="1" summaryRight="1"/>
    <pageSetUpPr/>
  </sheetPr>
  <dimension ref="A1:T33"/>
  <sheetViews>
    <sheetView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8" customWidth="1" min="1" max="1"/>
    <col width="28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1">
      <c r="A1" s="1" t="inlineStr">
        <is>
          <t>MACRO THESIS TRACKER — MONTHLY METRICS</t>
        </is>
      </c>
    </row>
    <row r="3">
      <c r="A3" s="3" t="inlineStr">
        <is>
          <t>Metric</t>
        </is>
      </c>
      <c r="B3" s="3" t="inlineStr">
        <is>
          <t>Source</t>
        </is>
      </c>
      <c r="C3" s="3" t="inlineStr">
        <is>
          <t>Unit</t>
        </is>
      </c>
      <c r="D3" s="3" t="inlineStr">
        <is>
          <t>Jan-25</t>
        </is>
      </c>
      <c r="E3" s="3" t="inlineStr">
        <is>
          <t>Feb-25</t>
        </is>
      </c>
      <c r="F3" s="3" t="inlineStr">
        <is>
          <t>Mar-25</t>
        </is>
      </c>
      <c r="G3" s="3" t="inlineStr">
        <is>
          <t>Apr-25</t>
        </is>
      </c>
      <c r="H3" s="3" t="inlineStr">
        <is>
          <t>May-25</t>
        </is>
      </c>
      <c r="I3" s="3" t="inlineStr">
        <is>
          <t>Jun-25</t>
        </is>
      </c>
      <c r="J3" s="3" t="inlineStr">
        <is>
          <t>Jul-25</t>
        </is>
      </c>
      <c r="K3" s="3" t="inlineStr">
        <is>
          <t>Aug-25</t>
        </is>
      </c>
      <c r="L3" s="3" t="inlineStr">
        <is>
          <t>Sep-25</t>
        </is>
      </c>
      <c r="M3" s="3" t="inlineStr">
        <is>
          <t>Oct-25</t>
        </is>
      </c>
      <c r="N3" s="3" t="inlineStr">
        <is>
          <t>Nov-25</t>
        </is>
      </c>
      <c r="O3" s="3" t="inlineStr">
        <is>
          <t>Dec-25</t>
        </is>
      </c>
      <c r="P3" s="3" t="inlineStr">
        <is>
          <t>Jan-26</t>
        </is>
      </c>
      <c r="Q3" s="3" t="inlineStr">
        <is>
          <t>Feb-26</t>
        </is>
      </c>
      <c r="R3" s="3" t="inlineStr">
        <is>
          <t>Mar-26</t>
        </is>
      </c>
      <c r="S3" s="3" t="inlineStr">
        <is>
          <t>Apr-26</t>
        </is>
      </c>
      <c r="T3" s="3" t="inlineStr">
        <is>
          <t>May-26</t>
        </is>
      </c>
    </row>
    <row r="4">
      <c r="A4" s="4" t="inlineStr">
        <is>
          <t>INFLATION &amp; PRICE PRESSURE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5" t="n"/>
    </row>
    <row r="5">
      <c r="A5" s="6" t="inlineStr">
        <is>
          <t>Core PCE (YoY)</t>
        </is>
      </c>
      <c r="B5" s="7" t="inlineStr">
        <is>
          <t>BEA / FRED</t>
        </is>
      </c>
      <c r="C5" s="7" t="inlineStr">
        <is>
          <t>%</t>
        </is>
      </c>
      <c r="D5" s="8" t="n">
        <v>2.78</v>
      </c>
      <c r="E5" s="8" t="n">
        <v>2.97</v>
      </c>
      <c r="F5" s="8" t="n">
        <v>2.67</v>
      </c>
      <c r="G5" s="8" t="n">
        <v>2.61</v>
      </c>
      <c r="H5" s="8" t="n">
        <v>2.78</v>
      </c>
      <c r="I5" s="8" t="n">
        <v>2.81</v>
      </c>
      <c r="J5" s="8" t="n">
        <v>2.86</v>
      </c>
      <c r="K5" s="8" t="n">
        <v>2.91</v>
      </c>
      <c r="L5" s="8" t="n">
        <v>2.83</v>
      </c>
      <c r="M5" s="8" t="n">
        <v>2.75</v>
      </c>
      <c r="N5" s="8" t="n">
        <v>2.83</v>
      </c>
      <c r="O5" s="8" t="n">
        <v>2.97</v>
      </c>
      <c r="P5" s="8" t="n">
        <v>3.08</v>
      </c>
      <c r="Q5" s="8" t="n">
        <v>3</v>
      </c>
      <c r="R5" s="8" t="n">
        <v>3.2</v>
      </c>
      <c r="S5" s="8" t="n"/>
      <c r="T5" s="8" t="n"/>
    </row>
    <row r="6">
      <c r="A6" s="9" t="inlineStr">
        <is>
          <t>Core CPI (YoY)</t>
        </is>
      </c>
      <c r="B6" s="10" t="inlineStr">
        <is>
          <t>BLS</t>
        </is>
      </c>
      <c r="C6" s="10" t="inlineStr">
        <is>
          <t>%</t>
        </is>
      </c>
      <c r="D6" s="11" t="n">
        <v>3.28</v>
      </c>
      <c r="E6" s="11" t="n">
        <v>3.14</v>
      </c>
      <c r="F6" s="11" t="n">
        <v>2.81</v>
      </c>
      <c r="G6" s="11" t="n">
        <v>2.78</v>
      </c>
      <c r="H6" s="11" t="n">
        <v>2.77</v>
      </c>
      <c r="I6" s="11" t="n">
        <v>2.91</v>
      </c>
      <c r="J6" s="11" t="n">
        <v>3.05</v>
      </c>
      <c r="K6" s="11" t="n">
        <v>3.11</v>
      </c>
      <c r="L6" s="11" t="n">
        <v>3.02</v>
      </c>
      <c r="M6" s="11" t="n"/>
      <c r="N6" s="11" t="n">
        <v>2.6</v>
      </c>
      <c r="O6" s="11" t="n">
        <v>2.65</v>
      </c>
      <c r="P6" s="11" t="n">
        <v>2.51</v>
      </c>
      <c r="Q6" s="11" t="n">
        <v>2.47</v>
      </c>
      <c r="R6" s="11" t="n">
        <v>2.6</v>
      </c>
      <c r="S6" s="11" t="n">
        <v>2.74</v>
      </c>
      <c r="T6" s="11" t="n"/>
    </row>
    <row r="7">
      <c r="A7" s="6" t="inlineStr">
        <is>
          <t>Supercore CPI (Services ex-Housing ex-Energy)</t>
        </is>
      </c>
      <c r="B7" s="7" t="inlineStr">
        <is>
          <t>BLS</t>
        </is>
      </c>
      <c r="C7" s="7" t="inlineStr">
        <is>
          <t>%</t>
        </is>
      </c>
      <c r="D7" s="8" t="n">
        <v>4.31</v>
      </c>
      <c r="E7" s="8" t="n">
        <v>4.11</v>
      </c>
      <c r="F7" s="8" t="n">
        <v>3.68</v>
      </c>
      <c r="G7" s="8" t="n">
        <v>3.58</v>
      </c>
      <c r="H7" s="8" t="n">
        <v>3.53</v>
      </c>
      <c r="I7" s="8" t="n">
        <v>3.61</v>
      </c>
      <c r="J7" s="8" t="n">
        <v>3.66</v>
      </c>
      <c r="K7" s="8" t="n">
        <v>3.61</v>
      </c>
      <c r="L7" s="8" t="n">
        <v>3.48</v>
      </c>
      <c r="M7" s="8" t="n"/>
      <c r="N7" s="8" t="n">
        <v>2.98</v>
      </c>
      <c r="O7" s="8" t="n">
        <v>3.03</v>
      </c>
      <c r="P7" s="8" t="n">
        <v>2.95</v>
      </c>
      <c r="Q7" s="8" t="n">
        <v>2.93</v>
      </c>
      <c r="R7" s="8" t="n">
        <v>3.05</v>
      </c>
      <c r="S7" s="8" t="n">
        <v>3.25</v>
      </c>
      <c r="T7" s="8" t="n"/>
    </row>
    <row r="8">
      <c r="A8" s="9" t="inlineStr">
        <is>
          <t>CPI - Food (YoY)</t>
        </is>
      </c>
      <c r="B8" s="10" t="inlineStr">
        <is>
          <t>BLS</t>
        </is>
      </c>
      <c r="C8" s="10" t="inlineStr">
        <is>
          <t>%</t>
        </is>
      </c>
      <c r="D8" s="11" t="n">
        <v>2.45</v>
      </c>
      <c r="E8" s="11" t="n">
        <v>2.55</v>
      </c>
      <c r="F8" s="11" t="n">
        <v>2.92</v>
      </c>
      <c r="G8" s="11" t="n">
        <v>2.75</v>
      </c>
      <c r="H8" s="11" t="n">
        <v>2.9</v>
      </c>
      <c r="I8" s="11" t="n">
        <v>2.99</v>
      </c>
      <c r="J8" s="11" t="n">
        <v>2.89</v>
      </c>
      <c r="K8" s="11" t="n">
        <v>3.2</v>
      </c>
      <c r="L8" s="11" t="n">
        <v>3.11</v>
      </c>
      <c r="M8" s="11" t="n"/>
      <c r="N8" s="11" t="n">
        <v>2.62</v>
      </c>
      <c r="O8" s="11" t="n">
        <v>3.04</v>
      </c>
      <c r="P8" s="11" t="n">
        <v>2.93</v>
      </c>
      <c r="Q8" s="11" t="n">
        <v>3.14</v>
      </c>
      <c r="R8" s="11" t="n">
        <v>2.75</v>
      </c>
      <c r="S8" s="11" t="n">
        <v>3.22</v>
      </c>
      <c r="T8" s="11" t="n"/>
    </row>
    <row r="9">
      <c r="A9" s="6" t="inlineStr">
        <is>
          <t>CPI - Energy (YoY)</t>
        </is>
      </c>
      <c r="B9" s="7" t="inlineStr">
        <is>
          <t>BLS</t>
        </is>
      </c>
      <c r="C9" s="7" t="inlineStr">
        <is>
          <t>%</t>
        </is>
      </c>
      <c r="D9" s="8" t="n">
        <v>0.83</v>
      </c>
      <c r="E9" s="8" t="n">
        <v>-0.44</v>
      </c>
      <c r="F9" s="8" t="n">
        <v>-3.39</v>
      </c>
      <c r="G9" s="8" t="n">
        <v>-3.57</v>
      </c>
      <c r="H9" s="8" t="n">
        <v>-3.09</v>
      </c>
      <c r="I9" s="8" t="n">
        <v>-0.62</v>
      </c>
      <c r="J9" s="8" t="n">
        <v>-1.24</v>
      </c>
      <c r="K9" s="8" t="n">
        <v>0.37</v>
      </c>
      <c r="L9" s="8" t="n">
        <v>2.94</v>
      </c>
      <c r="M9" s="8" t="n"/>
      <c r="N9" s="8" t="n">
        <v>4.16</v>
      </c>
      <c r="O9" s="8" t="n">
        <v>2.07</v>
      </c>
      <c r="P9" s="8" t="n">
        <v>-0.3</v>
      </c>
      <c r="Q9" s="8" t="n">
        <v>0.4</v>
      </c>
      <c r="R9" s="8" t="n">
        <v>12.59</v>
      </c>
      <c r="S9" s="8" t="n">
        <v>17.54</v>
      </c>
      <c r="T9" s="8" t="n"/>
    </row>
    <row r="10">
      <c r="A10" s="9" t="inlineStr">
        <is>
          <t>WTI Crude Oil (Avg)</t>
        </is>
      </c>
      <c r="B10" s="10" t="inlineStr">
        <is>
          <t>EIA / FRED</t>
        </is>
      </c>
      <c r="C10" s="10" t="inlineStr">
        <is>
          <t>$/bbl</t>
        </is>
      </c>
      <c r="D10" s="11" t="n">
        <v>75.73999999999999</v>
      </c>
      <c r="E10" s="11" t="n">
        <v>71.53</v>
      </c>
      <c r="F10" s="11" t="n">
        <v>68.23999999999999</v>
      </c>
      <c r="G10" s="11" t="n">
        <v>63.54</v>
      </c>
      <c r="H10" s="11" t="n">
        <v>62.17</v>
      </c>
      <c r="I10" s="11" t="n">
        <v>68.17</v>
      </c>
      <c r="J10" s="11" t="n">
        <v>68.39</v>
      </c>
      <c r="K10" s="11" t="n">
        <v>64.86</v>
      </c>
      <c r="L10" s="11" t="n">
        <v>63.96</v>
      </c>
      <c r="M10" s="11" t="n">
        <v>60.89</v>
      </c>
      <c r="N10" s="11" t="n">
        <v>60.06</v>
      </c>
      <c r="O10" s="11" t="n">
        <v>57.97</v>
      </c>
      <c r="P10" s="11" t="n">
        <v>60.04</v>
      </c>
      <c r="Q10" s="11" t="n">
        <v>64.51000000000001</v>
      </c>
      <c r="R10" s="11" t="n">
        <v>91.38</v>
      </c>
      <c r="S10" s="11" t="n">
        <v>100.32</v>
      </c>
      <c r="T10" s="11" t="n">
        <v>104.55</v>
      </c>
    </row>
    <row r="11">
      <c r="A11" s="6" t="inlineStr">
        <is>
          <t>Brent Crude Oil (Avg)</t>
        </is>
      </c>
      <c r="B11" s="7" t="inlineStr">
        <is>
          <t>EIA / FRED</t>
        </is>
      </c>
      <c r="C11" s="7" t="inlineStr">
        <is>
          <t>$/bbl</t>
        </is>
      </c>
      <c r="D11" s="8" t="n">
        <v>79.27</v>
      </c>
      <c r="E11" s="8" t="n">
        <v>75.44</v>
      </c>
      <c r="F11" s="8" t="n">
        <v>72.73</v>
      </c>
      <c r="G11" s="8" t="n">
        <v>68.13</v>
      </c>
      <c r="H11" s="8" t="n">
        <v>64.45</v>
      </c>
      <c r="I11" s="8" t="n">
        <v>71.44</v>
      </c>
      <c r="J11" s="8" t="n">
        <v>71.04000000000001</v>
      </c>
      <c r="K11" s="8" t="n">
        <v>67.87</v>
      </c>
      <c r="L11" s="8" t="n">
        <v>67.98999999999999</v>
      </c>
      <c r="M11" s="8" t="n">
        <v>64.54000000000001</v>
      </c>
      <c r="N11" s="8" t="n">
        <v>63.8</v>
      </c>
      <c r="O11" s="8" t="n">
        <v>62.54</v>
      </c>
      <c r="P11" s="8" t="n">
        <v>66.59999999999999</v>
      </c>
      <c r="Q11" s="8" t="n">
        <v>70.89</v>
      </c>
      <c r="R11" s="8" t="n">
        <v>103.13</v>
      </c>
      <c r="S11" s="8" t="n">
        <v>117.29</v>
      </c>
      <c r="T11" s="8" t="n">
        <v>110.1</v>
      </c>
    </row>
    <row r="12">
      <c r="A12" s="9" t="inlineStr">
        <is>
          <t>Copper Price (Avg)</t>
        </is>
      </c>
      <c r="B12" s="10" t="inlineStr">
        <is>
          <t>COMEX / FRED</t>
        </is>
      </c>
      <c r="C12" s="10" t="inlineStr">
        <is>
          <t>$/lb</t>
        </is>
      </c>
      <c r="D12" s="11" t="n">
        <v>8976.68</v>
      </c>
      <c r="E12" s="11" t="n">
        <v>9330.98</v>
      </c>
      <c r="F12" s="11" t="n">
        <v>9735.82</v>
      </c>
      <c r="G12" s="11" t="n">
        <v>9172.700000000001</v>
      </c>
      <c r="H12" s="11" t="n">
        <v>9531.200000000001</v>
      </c>
      <c r="I12" s="11" t="n">
        <v>9835.07</v>
      </c>
      <c r="J12" s="11" t="n">
        <v>9770.58</v>
      </c>
      <c r="K12" s="11" t="n">
        <v>9671.879999999999</v>
      </c>
      <c r="L12" s="11" t="n">
        <v>9994.77</v>
      </c>
      <c r="M12" s="11" t="n">
        <v>10739.92</v>
      </c>
      <c r="N12" s="11" t="n">
        <v>10812.03</v>
      </c>
      <c r="O12" s="11" t="n">
        <v>11790.96</v>
      </c>
      <c r="P12" s="11" t="n">
        <v>12986.61</v>
      </c>
      <c r="Q12" s="11" t="n">
        <v>12951.34</v>
      </c>
      <c r="R12" s="11" t="n">
        <v>12528.71</v>
      </c>
      <c r="S12" s="11" t="n"/>
      <c r="T12" s="11" t="n"/>
    </row>
    <row r="13">
      <c r="A13" s="6" t="inlineStr">
        <is>
          <t>PJM Wholesale Electricity (Avg)</t>
        </is>
      </c>
      <c r="B13" s="7" t="inlineStr">
        <is>
          <t>PJM Interconnection</t>
        </is>
      </c>
      <c r="C13" s="7" t="inlineStr">
        <is>
          <t>$/MWh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</row>
    <row r="14">
      <c r="A14" s="9" t="inlineStr">
        <is>
          <t>Natural Gas Henry Hub (Avg)</t>
        </is>
      </c>
      <c r="B14" s="10" t="inlineStr">
        <is>
          <t>EIA</t>
        </is>
      </c>
      <c r="C14" s="10" t="inlineStr">
        <is>
          <t>$/MMBtu</t>
        </is>
      </c>
      <c r="D14" s="11" t="n">
        <v>4.13</v>
      </c>
      <c r="E14" s="11" t="n">
        <v>4.19</v>
      </c>
      <c r="F14" s="11" t="n">
        <v>4.12</v>
      </c>
      <c r="G14" s="11" t="n">
        <v>3.42</v>
      </c>
      <c r="H14" s="11" t="n">
        <v>3.12</v>
      </c>
      <c r="I14" s="11" t="n">
        <v>3.02</v>
      </c>
      <c r="J14" s="11" t="n">
        <v>3.2</v>
      </c>
      <c r="K14" s="11" t="n">
        <v>2.91</v>
      </c>
      <c r="L14" s="11" t="n">
        <v>2.97</v>
      </c>
      <c r="M14" s="11" t="n">
        <v>3.19</v>
      </c>
      <c r="N14" s="11" t="n">
        <v>3.79</v>
      </c>
      <c r="O14" s="11" t="n">
        <v>4.26</v>
      </c>
      <c r="P14" s="11" t="n">
        <v>7.72</v>
      </c>
      <c r="Q14" s="11" t="n">
        <v>3.62</v>
      </c>
      <c r="R14" s="11" t="n">
        <v>3.04</v>
      </c>
      <c r="S14" s="11" t="n">
        <v>2.77</v>
      </c>
      <c r="T14" s="11" t="n">
        <v>2.81</v>
      </c>
    </row>
    <row r="15">
      <c r="A15" s="4" t="inlineStr">
        <is>
          <t>CONSUMER PURCHASING POWER</t>
        </is>
      </c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5" t="n"/>
    </row>
    <row r="16">
      <c r="A16" s="9" t="inlineStr">
        <is>
          <t>Real Personal Spending (YoY)</t>
        </is>
      </c>
      <c r="B16" s="10" t="inlineStr">
        <is>
          <t>BEA / FRED</t>
        </is>
      </c>
      <c r="C16" s="10" t="inlineStr">
        <is>
          <t>%</t>
        </is>
      </c>
      <c r="D16" s="11" t="n">
        <v>3.31</v>
      </c>
      <c r="E16" s="11" t="n">
        <v>2.74</v>
      </c>
      <c r="F16" s="11" t="n">
        <v>3.19</v>
      </c>
      <c r="G16" s="11" t="n">
        <v>3.15</v>
      </c>
      <c r="H16" s="11" t="n">
        <v>2.53</v>
      </c>
      <c r="I16" s="11" t="n">
        <v>2.5</v>
      </c>
      <c r="J16" s="11" t="n">
        <v>2.63</v>
      </c>
      <c r="K16" s="11" t="n">
        <v>2.79</v>
      </c>
      <c r="L16" s="11" t="n">
        <v>2.38</v>
      </c>
      <c r="M16" s="11" t="n">
        <v>2.47</v>
      </c>
      <c r="N16" s="11" t="n">
        <v>2.25</v>
      </c>
      <c r="O16" s="11" t="n">
        <v>1.62</v>
      </c>
      <c r="P16" s="11" t="n">
        <v>2.27</v>
      </c>
      <c r="Q16" s="11" t="n">
        <v>2.68</v>
      </c>
      <c r="R16" s="11" t="n">
        <v>2.12</v>
      </c>
      <c r="S16" s="11" t="n"/>
      <c r="T16" s="11" t="n"/>
    </row>
    <row r="17">
      <c r="A17" s="6" t="inlineStr">
        <is>
          <t>Real Avg Hourly Earnings (YoY)</t>
        </is>
      </c>
      <c r="B17" s="7" t="inlineStr">
        <is>
          <t>BLS / FRED (derived)</t>
        </is>
      </c>
      <c r="C17" s="7" t="inlineStr">
        <is>
          <t>%</t>
        </is>
      </c>
      <c r="D17" s="8" t="n">
        <v>0.98</v>
      </c>
      <c r="E17" s="8" t="n">
        <v>1.31</v>
      </c>
      <c r="F17" s="8" t="n">
        <v>1.83</v>
      </c>
      <c r="G17" s="8" t="n">
        <v>1.58</v>
      </c>
      <c r="H17" s="8" t="n">
        <v>1.6</v>
      </c>
      <c r="I17" s="8" t="n">
        <v>1.18</v>
      </c>
      <c r="J17" s="8" t="n">
        <v>1.22</v>
      </c>
      <c r="K17" s="8" t="n">
        <v>1.04</v>
      </c>
      <c r="L17" s="8" t="n">
        <v>0.83</v>
      </c>
      <c r="M17" s="8" t="n"/>
      <c r="N17" s="8" t="n">
        <v>1.23</v>
      </c>
      <c r="O17" s="8" t="n">
        <v>1.08</v>
      </c>
      <c r="P17" s="8" t="n">
        <v>1.27</v>
      </c>
      <c r="Q17" s="8" t="n">
        <v>1.27</v>
      </c>
      <c r="R17" s="8" t="n">
        <v>0.14</v>
      </c>
      <c r="S17" s="8" t="n">
        <v>-0.21</v>
      </c>
      <c r="T17" s="8" t="n"/>
    </row>
    <row r="18">
      <c r="A18" s="4" t="inlineStr">
        <is>
          <t>LABOR MARKET</t>
        </is>
      </c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5" t="n"/>
    </row>
    <row r="19">
      <c r="A19" s="6" t="inlineStr">
        <is>
          <t>Initial Jobless Claims (Monthly Avg)</t>
        </is>
      </c>
      <c r="B19" s="7" t="inlineStr">
        <is>
          <t>DOL / FRED</t>
        </is>
      </c>
      <c r="C19" s="7" t="inlineStr">
        <is>
          <t>000s</t>
        </is>
      </c>
      <c r="D19" s="8" t="n">
        <v>215000</v>
      </c>
      <c r="E19" s="8" t="n">
        <v>225000</v>
      </c>
      <c r="F19" s="8" t="n">
        <v>223000</v>
      </c>
      <c r="G19" s="8" t="n">
        <v>225750</v>
      </c>
      <c r="H19" s="8" t="n">
        <v>231800</v>
      </c>
      <c r="I19" s="8" t="n">
        <v>239000</v>
      </c>
      <c r="J19" s="8" t="n">
        <v>221500</v>
      </c>
      <c r="K19" s="8" t="n">
        <v>229600</v>
      </c>
      <c r="L19" s="8" t="n">
        <v>234000</v>
      </c>
      <c r="M19" s="8" t="n">
        <v>226750</v>
      </c>
      <c r="N19" s="8" t="n">
        <v>222400</v>
      </c>
      <c r="O19" s="8" t="n">
        <v>219250</v>
      </c>
      <c r="P19" s="8" t="n">
        <v>211800</v>
      </c>
      <c r="Q19" s="8" t="n">
        <v>215750</v>
      </c>
      <c r="R19" s="8" t="n">
        <v>208000</v>
      </c>
      <c r="S19" s="8" t="n">
        <v>207750</v>
      </c>
      <c r="T19" s="8" t="n">
        <v>206666.67</v>
      </c>
    </row>
    <row r="20">
      <c r="A20" s="9" t="inlineStr">
        <is>
          <t>Continuing Claims (Monthly Avg)</t>
        </is>
      </c>
      <c r="B20" s="10" t="inlineStr">
        <is>
          <t>DOL / FRED</t>
        </is>
      </c>
      <c r="C20" s="10" t="inlineStr">
        <is>
          <t>000s</t>
        </is>
      </c>
      <c r="D20" s="11" t="n">
        <v>1867750</v>
      </c>
      <c r="E20" s="11" t="n">
        <v>1860000</v>
      </c>
      <c r="F20" s="11" t="n">
        <v>1865200</v>
      </c>
      <c r="G20" s="11" t="n">
        <v>1874500</v>
      </c>
      <c r="H20" s="11" t="n">
        <v>1906600</v>
      </c>
      <c r="I20" s="11" t="n">
        <v>1950250</v>
      </c>
      <c r="J20" s="11" t="n">
        <v>1947250</v>
      </c>
      <c r="K20" s="11" t="n">
        <v>1941000</v>
      </c>
      <c r="L20" s="11" t="n">
        <v>1922750</v>
      </c>
      <c r="M20" s="11" t="n">
        <v>1947500</v>
      </c>
      <c r="N20" s="11" t="n">
        <v>1932800</v>
      </c>
      <c r="O20" s="11" t="n">
        <v>1889250</v>
      </c>
      <c r="P20" s="11" t="n">
        <v>1852800</v>
      </c>
      <c r="Q20" s="11" t="n">
        <v>1852500</v>
      </c>
      <c r="R20" s="11" t="n">
        <v>1821500</v>
      </c>
      <c r="S20" s="11" t="n">
        <v>1787750</v>
      </c>
      <c r="T20" s="11" t="n">
        <v>1779000</v>
      </c>
    </row>
    <row r="21">
      <c r="A21" s="6" t="inlineStr">
        <is>
          <t>JOLTS Job Openings</t>
        </is>
      </c>
      <c r="B21" s="7" t="inlineStr">
        <is>
          <t>BLS</t>
        </is>
      </c>
      <c r="C21" s="7" t="inlineStr">
        <is>
          <t>000s</t>
        </is>
      </c>
      <c r="D21" s="8" t="n">
        <v>7431</v>
      </c>
      <c r="E21" s="8" t="n">
        <v>7242</v>
      </c>
      <c r="F21" s="8" t="n">
        <v>6952</v>
      </c>
      <c r="G21" s="8" t="n">
        <v>7098</v>
      </c>
      <c r="H21" s="8" t="n">
        <v>7310</v>
      </c>
      <c r="I21" s="8" t="n">
        <v>7204</v>
      </c>
      <c r="J21" s="8" t="n">
        <v>7089</v>
      </c>
      <c r="K21" s="8" t="n">
        <v>6919</v>
      </c>
      <c r="L21" s="8" t="n">
        <v>7169</v>
      </c>
      <c r="M21" s="8" t="n">
        <v>7170</v>
      </c>
      <c r="N21" s="8" t="n">
        <v>6846</v>
      </c>
      <c r="O21" s="8" t="n">
        <v>6550</v>
      </c>
      <c r="P21" s="8" t="n">
        <v>7240</v>
      </c>
      <c r="Q21" s="8" t="n">
        <v>6922</v>
      </c>
      <c r="R21" s="8" t="n">
        <v>6866</v>
      </c>
      <c r="S21" s="8" t="n"/>
      <c r="T21" s="8" t="n"/>
    </row>
    <row r="22">
      <c r="A22" s="9" t="inlineStr">
        <is>
          <t>JOLTS Quits Rate</t>
        </is>
      </c>
      <c r="B22" s="10" t="inlineStr">
        <is>
          <t>BLS</t>
        </is>
      </c>
      <c r="C22" s="10" t="inlineStr">
        <is>
          <t>%</t>
        </is>
      </c>
      <c r="D22" s="11" t="n">
        <v>2</v>
      </c>
      <c r="E22" s="11" t="n">
        <v>2</v>
      </c>
      <c r="F22" s="11" t="n">
        <v>2.2</v>
      </c>
      <c r="G22" s="11" t="n">
        <v>2</v>
      </c>
      <c r="H22" s="11" t="n">
        <v>2.1</v>
      </c>
      <c r="I22" s="11" t="n">
        <v>2.1</v>
      </c>
      <c r="J22" s="11" t="n">
        <v>2</v>
      </c>
      <c r="K22" s="11" t="n">
        <v>2</v>
      </c>
      <c r="L22" s="11" t="n">
        <v>1.9</v>
      </c>
      <c r="M22" s="11" t="n">
        <v>1.9</v>
      </c>
      <c r="N22" s="11" t="n">
        <v>2</v>
      </c>
      <c r="O22" s="11" t="n">
        <v>2</v>
      </c>
      <c r="P22" s="11" t="n">
        <v>2</v>
      </c>
      <c r="Q22" s="11" t="n">
        <v>1.9</v>
      </c>
      <c r="R22" s="11" t="n">
        <v>2</v>
      </c>
      <c r="S22" s="11" t="n"/>
      <c r="T22" s="11" t="n"/>
    </row>
    <row r="23">
      <c r="A23" s="6" t="inlineStr">
        <is>
          <t>JOLTS Layoffs &amp; Discharges</t>
        </is>
      </c>
      <c r="B23" s="7" t="inlineStr">
        <is>
          <t>BLS</t>
        </is>
      </c>
      <c r="C23" s="7" t="inlineStr">
        <is>
          <t>000s</t>
        </is>
      </c>
      <c r="D23" s="8" t="n">
        <v>1738</v>
      </c>
      <c r="E23" s="8" t="n">
        <v>1867</v>
      </c>
      <c r="F23" s="8" t="n">
        <v>1595</v>
      </c>
      <c r="G23" s="8" t="n">
        <v>1818</v>
      </c>
      <c r="H23" s="8" t="n">
        <v>1671</v>
      </c>
      <c r="I23" s="8" t="n">
        <v>1843</v>
      </c>
      <c r="J23" s="8" t="n">
        <v>1772</v>
      </c>
      <c r="K23" s="8" t="n">
        <v>1832</v>
      </c>
      <c r="L23" s="8" t="n">
        <v>1816</v>
      </c>
      <c r="M23" s="8" t="n">
        <v>1891</v>
      </c>
      <c r="N23" s="8" t="n">
        <v>1660</v>
      </c>
      <c r="O23" s="8" t="n">
        <v>1666</v>
      </c>
      <c r="P23" s="8" t="n">
        <v>1660</v>
      </c>
      <c r="Q23" s="8" t="n">
        <v>1714</v>
      </c>
      <c r="R23" s="8" t="n">
        <v>1867</v>
      </c>
      <c r="S23" s="8" t="n"/>
      <c r="T23" s="8" t="n"/>
    </row>
    <row r="24">
      <c r="A24" s="9" t="inlineStr">
        <is>
          <t>Challenger Job Cuts (Total)</t>
        </is>
      </c>
      <c r="B24" s="10" t="inlineStr">
        <is>
          <t>Challenger Gray &amp; Christmas</t>
        </is>
      </c>
      <c r="C24" s="10" t="inlineStr">
        <is>
          <t>000s</t>
        </is>
      </c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</row>
    <row r="25">
      <c r="A25" s="6" t="inlineStr">
        <is>
          <t>Challenger Job Cuts (AI/Tech-Related)</t>
        </is>
      </c>
      <c r="B25" s="7" t="inlineStr">
        <is>
          <t>Challenger Gray &amp; Christmas</t>
        </is>
      </c>
      <c r="C25" s="7" t="inlineStr">
        <is>
          <t>000s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</row>
    <row r="26">
      <c r="A26" s="9" t="inlineStr">
        <is>
          <t>WARN Act Filings (Major Layoffs)</t>
        </is>
      </c>
      <c r="B26" s="10" t="inlineStr">
        <is>
          <t>State DOL aggregators</t>
        </is>
      </c>
      <c r="C26" s="10" t="inlineStr">
        <is>
          <t>Count</t>
        </is>
      </c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</row>
    <row r="27">
      <c r="A27" s="4" t="inlineStr">
        <is>
          <t>AI ADOPTION SIGNALS (MONTHLY)</t>
        </is>
      </c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5" t="n"/>
    </row>
    <row r="28">
      <c r="A28" s="9" t="inlineStr">
        <is>
          <t>Anthropic API Price - Frontier (per 1M input tokens)</t>
        </is>
      </c>
      <c r="B28" s="10" t="inlineStr">
        <is>
          <t>Anthropic pricing page</t>
        </is>
      </c>
      <c r="C28" s="10" t="inlineStr">
        <is>
          <t>$</t>
        </is>
      </c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</row>
    <row r="29">
      <c r="A29" s="6" t="inlineStr">
        <is>
          <t>Anthropic API Price - Frontier (per 1M output tokens)</t>
        </is>
      </c>
      <c r="B29" s="7" t="inlineStr">
        <is>
          <t>Anthropic pricing page</t>
        </is>
      </c>
      <c r="C29" s="7" t="inlineStr">
        <is>
          <t>$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</row>
    <row r="30">
      <c r="A30" s="9" t="inlineStr">
        <is>
          <t>OpenAI API Price - Frontier (per 1M input tokens)</t>
        </is>
      </c>
      <c r="B30" s="10" t="inlineStr">
        <is>
          <t>OpenAI pricing page</t>
        </is>
      </c>
      <c r="C30" s="10" t="inlineStr">
        <is>
          <t>$</t>
        </is>
      </c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</row>
    <row r="31">
      <c r="A31" s="6" t="inlineStr">
        <is>
          <t>OpenAI API Price - Frontier (per 1M output tokens)</t>
        </is>
      </c>
      <c r="B31" s="7" t="inlineStr">
        <is>
          <t>OpenAI pricing page</t>
        </is>
      </c>
      <c r="C31" s="7" t="inlineStr">
        <is>
          <t>$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</row>
    <row r="32">
      <c r="A32" s="9" t="inlineStr">
        <is>
          <t>Google Gemini API - Frontier (per 1M input tokens)</t>
        </is>
      </c>
      <c r="B32" s="10" t="inlineStr">
        <is>
          <t>Google AI pricing</t>
        </is>
      </c>
      <c r="C32" s="10" t="inlineStr">
        <is>
          <t>$</t>
        </is>
      </c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</row>
    <row r="33">
      <c r="A33" s="6" t="inlineStr">
        <is>
          <t>ChatGPT Pro/Plus Subscribers (est.)</t>
        </is>
      </c>
      <c r="B33" s="7" t="inlineStr">
        <is>
          <t>Press reports / Similarweb</t>
        </is>
      </c>
      <c r="C33" s="7" t="inlineStr">
        <is>
          <t>Millions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</row>
  </sheetData>
  <mergeCells count="5">
    <mergeCell ref="A27:T27"/>
    <mergeCell ref="A18:T18"/>
    <mergeCell ref="A4:T4"/>
    <mergeCell ref="A1:S1"/>
    <mergeCell ref="A15:T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AE60"/>
    <outlinePr summaryBelow="1" summaryRight="1"/>
    <pageSetUpPr/>
  </sheetPr>
  <dimension ref="A1:M47"/>
  <sheetViews>
    <sheetView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8" customWidth="1" min="1" max="1"/>
    <col width="28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MACRO THESIS TRACKER — QUARTERLY METRICS</t>
        </is>
      </c>
    </row>
    <row r="3">
      <c r="A3" s="3" t="inlineStr">
        <is>
          <t>Metric</t>
        </is>
      </c>
      <c r="B3" s="3" t="inlineStr">
        <is>
          <t>Source</t>
        </is>
      </c>
      <c r="C3" s="3" t="inlineStr">
        <is>
          <t>Unit</t>
        </is>
      </c>
      <c r="D3" s="3" t="inlineStr">
        <is>
          <t>Q1-24</t>
        </is>
      </c>
      <c r="E3" s="3" t="inlineStr">
        <is>
          <t>Q2-24</t>
        </is>
      </c>
      <c r="F3" s="3" t="inlineStr">
        <is>
          <t>Q3-24</t>
        </is>
      </c>
      <c r="G3" s="3" t="inlineStr">
        <is>
          <t>Q4-24</t>
        </is>
      </c>
      <c r="H3" s="3" t="inlineStr">
        <is>
          <t>Q1-25</t>
        </is>
      </c>
      <c r="I3" s="3" t="inlineStr">
        <is>
          <t>Q2-25</t>
        </is>
      </c>
      <c r="J3" s="3" t="inlineStr">
        <is>
          <t>Q3-25</t>
        </is>
      </c>
      <c r="K3" s="3" t="inlineStr">
        <is>
          <t>Q4-25</t>
        </is>
      </c>
      <c r="L3" s="3" t="inlineStr">
        <is>
          <t>Q1-26</t>
        </is>
      </c>
      <c r="M3" s="3" t="inlineStr">
        <is>
          <t>Q2-26</t>
        </is>
      </c>
    </row>
    <row r="4">
      <c r="A4" s="4" t="inlineStr">
        <is>
          <t>PRODUCTIVITY &amp; UNIT COSTS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5" t="n"/>
    </row>
    <row r="5">
      <c r="A5" s="6" t="inlineStr">
        <is>
          <t>Nonfarm Business Productivity (YoY %)</t>
        </is>
      </c>
      <c r="B5" s="7" t="inlineStr">
        <is>
          <t>BLS</t>
        </is>
      </c>
      <c r="C5" s="7" t="inlineStr">
        <is>
          <t>%</t>
        </is>
      </c>
      <c r="D5" s="8" t="n">
        <v>3.31</v>
      </c>
      <c r="E5" s="8" t="n">
        <v>3.22</v>
      </c>
      <c r="F5" s="8" t="n">
        <v>2.88</v>
      </c>
      <c r="G5" s="8" t="n">
        <v>2.25</v>
      </c>
      <c r="H5" s="8" t="n">
        <v>1.97</v>
      </c>
      <c r="I5" s="8" t="n">
        <v>2.08</v>
      </c>
      <c r="J5" s="8" t="n">
        <v>2.46</v>
      </c>
      <c r="K5" s="8" t="n">
        <v>2.49</v>
      </c>
      <c r="L5" s="8" t="n">
        <v>2.92</v>
      </c>
      <c r="M5" s="8" t="n"/>
    </row>
    <row r="6">
      <c r="A6" s="9" t="inlineStr">
        <is>
          <t>Unit Labor Costs (YoY %)</t>
        </is>
      </c>
      <c r="B6" s="10" t="inlineStr">
        <is>
          <t>BLS</t>
        </is>
      </c>
      <c r="C6" s="10" t="inlineStr">
        <is>
          <t>%</t>
        </is>
      </c>
      <c r="D6" s="11" t="n">
        <v>2.56</v>
      </c>
      <c r="E6" s="11" t="n">
        <v>2.23</v>
      </c>
      <c r="F6" s="11" t="n">
        <v>2.21</v>
      </c>
      <c r="G6" s="11" t="n">
        <v>2.63</v>
      </c>
      <c r="H6" s="11" t="n">
        <v>3.04</v>
      </c>
      <c r="I6" s="11" t="n">
        <v>2.02</v>
      </c>
      <c r="J6" s="11" t="n">
        <v>2</v>
      </c>
      <c r="K6" s="11" t="n">
        <v>2.42</v>
      </c>
      <c r="L6" s="11" t="n">
        <v>1.21</v>
      </c>
      <c r="M6" s="11" t="n"/>
    </row>
    <row r="7">
      <c r="A7" s="6" t="inlineStr">
        <is>
          <t>ULC minus Productivity (YoY %)</t>
        </is>
      </c>
      <c r="B7" s="7" t="inlineStr">
        <is>
          <t>BLS (derived)</t>
        </is>
      </c>
      <c r="C7" s="7" t="inlineStr">
        <is>
          <t>%</t>
        </is>
      </c>
      <c r="D7" s="8" t="n">
        <v>-0.75</v>
      </c>
      <c r="E7" s="8" t="n">
        <v>-0.99</v>
      </c>
      <c r="F7" s="8" t="n">
        <v>-0.67</v>
      </c>
      <c r="G7" s="8" t="n">
        <v>0.38</v>
      </c>
      <c r="H7" s="8" t="n">
        <v>1.07</v>
      </c>
      <c r="I7" s="8" t="n">
        <v>-0.06</v>
      </c>
      <c r="J7" s="8" t="n">
        <v>-0.46</v>
      </c>
      <c r="K7" s="8" t="n">
        <v>-0.07000000000000001</v>
      </c>
      <c r="L7" s="8" t="n">
        <v>-1.71</v>
      </c>
      <c r="M7" s="8" t="n"/>
    </row>
    <row r="8">
      <c r="A8" s="9" t="inlineStr">
        <is>
          <t>Output Per Hour Worked (Index)</t>
        </is>
      </c>
      <c r="B8" s="10" t="inlineStr">
        <is>
          <t>BLS</t>
        </is>
      </c>
      <c r="C8" s="10" t="inlineStr">
        <is>
          <t>Index</t>
        </is>
      </c>
      <c r="D8" s="11" t="n">
        <v>113.95</v>
      </c>
      <c r="E8" s="11" t="n">
        <v>114.99</v>
      </c>
      <c r="F8" s="11" t="n">
        <v>116.03</v>
      </c>
      <c r="G8" s="11" t="n">
        <v>116.44</v>
      </c>
      <c r="H8" s="11" t="n">
        <v>116.19</v>
      </c>
      <c r="I8" s="11" t="n">
        <v>117.39</v>
      </c>
      <c r="J8" s="11" t="n">
        <v>118.88</v>
      </c>
      <c r="K8" s="11" t="n">
        <v>119.35</v>
      </c>
      <c r="L8" s="11" t="n">
        <v>119.58</v>
      </c>
      <c r="M8" s="11" t="n"/>
    </row>
    <row r="9">
      <c r="A9" s="6" t="inlineStr">
        <is>
          <t>Multifactor Productivity (YoY %)</t>
        </is>
      </c>
      <c r="B9" s="7" t="inlineStr">
        <is>
          <t>BLS</t>
        </is>
      </c>
      <c r="C9" s="7" t="inlineStr">
        <is>
          <t>%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</row>
    <row r="10">
      <c r="A10" s="4" t="inlineStr">
        <is>
          <t>LABOR MARKET (QUARTERLY)</t>
        </is>
      </c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5" t="n"/>
    </row>
    <row r="11">
      <c r="A11" s="6" t="inlineStr">
        <is>
          <t>Unemployment Rate (U-3)</t>
        </is>
      </c>
      <c r="B11" s="7" t="inlineStr">
        <is>
          <t>BLS</t>
        </is>
      </c>
      <c r="C11" s="7" t="inlineStr">
        <is>
          <t>%</t>
        </is>
      </c>
      <c r="D11" s="8" t="n">
        <v>3.83</v>
      </c>
      <c r="E11" s="8" t="n">
        <v>3.97</v>
      </c>
      <c r="F11" s="8" t="n">
        <v>4.17</v>
      </c>
      <c r="G11" s="8" t="n">
        <v>4.13</v>
      </c>
      <c r="H11" s="8" t="n">
        <v>4.13</v>
      </c>
      <c r="I11" s="8" t="n">
        <v>4.2</v>
      </c>
      <c r="J11" s="8" t="n">
        <v>4.33</v>
      </c>
      <c r="K11" s="8" t="n">
        <v>4.45</v>
      </c>
      <c r="L11" s="8" t="n">
        <v>4.33</v>
      </c>
      <c r="M11" s="8" t="n">
        <v>4.3</v>
      </c>
    </row>
    <row r="12">
      <c r="A12" s="9" t="inlineStr">
        <is>
          <t>Underemployment Rate (U-6)</t>
        </is>
      </c>
      <c r="B12" s="10" t="inlineStr">
        <is>
          <t>BLS</t>
        </is>
      </c>
      <c r="C12" s="10" t="inlineStr">
        <is>
          <t>%</t>
        </is>
      </c>
      <c r="D12" s="11" t="n">
        <v>7.27</v>
      </c>
      <c r="E12" s="11" t="n">
        <v>7.4</v>
      </c>
      <c r="F12" s="11" t="n">
        <v>7.77</v>
      </c>
      <c r="G12" s="11" t="n">
        <v>7.67</v>
      </c>
      <c r="H12" s="11" t="n">
        <v>7.8</v>
      </c>
      <c r="I12" s="11" t="n">
        <v>7.77</v>
      </c>
      <c r="J12" s="11" t="n">
        <v>8.029999999999999</v>
      </c>
      <c r="K12" s="11" t="n">
        <v>8.550000000000001</v>
      </c>
      <c r="L12" s="11" t="n">
        <v>8</v>
      </c>
      <c r="M12" s="11" t="n">
        <v>8.199999999999999</v>
      </c>
    </row>
    <row r="13">
      <c r="A13" s="6" t="inlineStr">
        <is>
          <t>Employment - Information Sector</t>
        </is>
      </c>
      <c r="B13" s="7" t="inlineStr">
        <is>
          <t>BLS</t>
        </is>
      </c>
      <c r="C13" s="7" t="inlineStr">
        <is>
          <t>000s</t>
        </is>
      </c>
      <c r="D13" s="8" t="n">
        <v>2957.33</v>
      </c>
      <c r="E13" s="8" t="n">
        <v>2933.33</v>
      </c>
      <c r="F13" s="8" t="n">
        <v>2909.67</v>
      </c>
      <c r="G13" s="8" t="n">
        <v>2889</v>
      </c>
      <c r="H13" s="8" t="n">
        <v>2873.33</v>
      </c>
      <c r="I13" s="8" t="n">
        <v>2864</v>
      </c>
      <c r="J13" s="8" t="n">
        <v>2860</v>
      </c>
      <c r="K13" s="8" t="n">
        <v>2847.67</v>
      </c>
      <c r="L13" s="8" t="n">
        <v>2797.67</v>
      </c>
      <c r="M13" s="8" t="n">
        <v>2773</v>
      </c>
    </row>
    <row r="14">
      <c r="A14" s="9" t="inlineStr">
        <is>
          <t>Employment - Professional &amp; Business Services</t>
        </is>
      </c>
      <c r="B14" s="10" t="inlineStr">
        <is>
          <t>BLS</t>
        </is>
      </c>
      <c r="C14" s="10" t="inlineStr">
        <is>
          <t>000s</t>
        </is>
      </c>
      <c r="D14" s="11" t="n">
        <v>22652.33</v>
      </c>
      <c r="E14" s="11" t="n">
        <v>22618.33</v>
      </c>
      <c r="F14" s="11" t="n">
        <v>22551</v>
      </c>
      <c r="G14" s="11" t="n">
        <v>22505.67</v>
      </c>
      <c r="H14" s="11" t="n">
        <v>22470</v>
      </c>
      <c r="I14" s="11" t="n">
        <v>22446.33</v>
      </c>
      <c r="J14" s="11" t="n">
        <v>22379</v>
      </c>
      <c r="K14" s="11" t="n">
        <v>22366</v>
      </c>
      <c r="L14" s="11" t="n">
        <v>22419.33</v>
      </c>
      <c r="M14" s="11" t="n">
        <v>22445</v>
      </c>
    </row>
    <row r="15">
      <c r="A15" s="6" t="inlineStr">
        <is>
          <t>Employment - Financial Activities</t>
        </is>
      </c>
      <c r="B15" s="7" t="inlineStr">
        <is>
          <t>BLS</t>
        </is>
      </c>
      <c r="C15" s="7" t="inlineStr">
        <is>
          <t>000s</t>
        </is>
      </c>
      <c r="D15" s="8" t="n">
        <v>9155</v>
      </c>
      <c r="E15" s="8" t="n">
        <v>9150</v>
      </c>
      <c r="F15" s="8" t="n">
        <v>9159.33</v>
      </c>
      <c r="G15" s="8" t="n">
        <v>9172</v>
      </c>
      <c r="H15" s="8" t="n">
        <v>9195.67</v>
      </c>
      <c r="I15" s="8" t="n">
        <v>9206.67</v>
      </c>
      <c r="J15" s="8" t="n">
        <v>9192.67</v>
      </c>
      <c r="K15" s="8" t="n">
        <v>9185</v>
      </c>
      <c r="L15" s="8" t="n">
        <v>9142</v>
      </c>
      <c r="M15" s="8" t="n">
        <v>9119</v>
      </c>
    </row>
    <row r="16">
      <c r="A16" s="4" t="inlineStr">
        <is>
          <t>HYPERSCALER CAPEX ($B)</t>
        </is>
      </c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5" t="n"/>
    </row>
    <row r="17">
      <c r="A17" s="6" t="inlineStr">
        <is>
          <t>Microsoft - Total Capex</t>
        </is>
      </c>
      <c r="B17" s="7" t="inlineStr">
        <is>
          <t>MSFT 10-Q/K</t>
        </is>
      </c>
      <c r="C17" s="7" t="inlineStr">
        <is>
          <t>$B</t>
        </is>
      </c>
      <c r="D17" s="8" t="n"/>
      <c r="E17" s="8" t="n"/>
      <c r="F17" s="8" t="n"/>
      <c r="G17" s="8" t="n"/>
      <c r="H17" s="8" t="n">
        <v>16.75</v>
      </c>
      <c r="I17" s="8" t="n">
        <v>17.08</v>
      </c>
      <c r="J17" s="8" t="n">
        <v>19.39</v>
      </c>
      <c r="K17" s="8" t="n">
        <v>29.88</v>
      </c>
      <c r="L17" s="8" t="n">
        <v>30.88</v>
      </c>
      <c r="M17" s="8" t="n"/>
    </row>
    <row r="18">
      <c r="A18" s="9" t="inlineStr">
        <is>
          <t>Microsoft - Capex/Revenue %</t>
        </is>
      </c>
      <c r="B18" s="10" t="inlineStr">
        <is>
          <t>MSFT 10-Q/K</t>
        </is>
      </c>
      <c r="C18" s="10" t="inlineStr">
        <is>
          <t>%</t>
        </is>
      </c>
      <c r="D18" s="11" t="n"/>
      <c r="E18" s="11" t="n"/>
      <c r="F18" s="11" t="n"/>
      <c r="G18" s="11" t="n"/>
      <c r="H18" s="11" t="n">
        <v>23.9</v>
      </c>
      <c r="I18" s="11" t="n">
        <v>22.34</v>
      </c>
      <c r="J18" s="11" t="n">
        <v>24.96</v>
      </c>
      <c r="K18" s="11" t="n">
        <v>36.77</v>
      </c>
      <c r="L18" s="11" t="n">
        <v>37.25</v>
      </c>
      <c r="M18" s="11" t="n"/>
    </row>
    <row r="19">
      <c r="A19" s="6" t="inlineStr">
        <is>
          <t>Alphabet/Google - Total Capex</t>
        </is>
      </c>
      <c r="B19" s="7" t="inlineStr">
        <is>
          <t>GOOG 10-Q/K</t>
        </is>
      </c>
      <c r="C19" s="7" t="inlineStr">
        <is>
          <t>$B</t>
        </is>
      </c>
      <c r="D19" s="8" t="n"/>
      <c r="E19" s="8" t="n"/>
      <c r="F19" s="8" t="n"/>
      <c r="G19" s="8" t="n"/>
      <c r="H19" s="8" t="n">
        <v>17.2</v>
      </c>
      <c r="I19" s="8" t="n">
        <v>22.45</v>
      </c>
      <c r="J19" s="8" t="n">
        <v>23.95</v>
      </c>
      <c r="K19" s="8" t="n">
        <v>27.85</v>
      </c>
      <c r="L19" s="8" t="n">
        <v>35.67</v>
      </c>
      <c r="M19" s="8" t="n"/>
    </row>
    <row r="20">
      <c r="A20" s="9" t="inlineStr">
        <is>
          <t>Alphabet/Google - Capex/Revenue %</t>
        </is>
      </c>
      <c r="B20" s="10" t="inlineStr">
        <is>
          <t>GOOG 10-Q/K</t>
        </is>
      </c>
      <c r="C20" s="10" t="inlineStr">
        <is>
          <t>%</t>
        </is>
      </c>
      <c r="D20" s="11" t="n"/>
      <c r="E20" s="11" t="n"/>
      <c r="F20" s="11" t="n"/>
      <c r="G20" s="11" t="n"/>
      <c r="H20" s="11" t="n">
        <v>19.06</v>
      </c>
      <c r="I20" s="11" t="n">
        <v>23.28</v>
      </c>
      <c r="J20" s="11" t="n">
        <v>23.4</v>
      </c>
      <c r="K20" s="11" t="n">
        <v>24.47</v>
      </c>
      <c r="L20" s="11" t="n">
        <v>32.46</v>
      </c>
      <c r="M20" s="11" t="n"/>
    </row>
    <row r="21">
      <c r="A21" s="6" t="inlineStr">
        <is>
          <t>Amazon (AWS focus) - Total Capex</t>
        </is>
      </c>
      <c r="B21" s="7" t="inlineStr">
        <is>
          <t>AMZN 10-Q/K</t>
        </is>
      </c>
      <c r="C21" s="7" t="inlineStr">
        <is>
          <t>$B</t>
        </is>
      </c>
      <c r="D21" s="8" t="n"/>
      <c r="E21" s="8" t="n"/>
      <c r="F21" s="8" t="n"/>
      <c r="G21" s="8" t="n"/>
      <c r="H21" s="8" t="n">
        <v>25.02</v>
      </c>
      <c r="I21" s="8" t="n">
        <v>32.18</v>
      </c>
      <c r="J21" s="8" t="n">
        <v>35.09</v>
      </c>
      <c r="K21" s="8" t="n">
        <v>39.52</v>
      </c>
      <c r="L21" s="8" t="n">
        <v>44.2</v>
      </c>
      <c r="M21" s="8" t="n"/>
    </row>
    <row r="22">
      <c r="A22" s="9" t="inlineStr">
        <is>
          <t>Amazon - Capex/Revenue %</t>
        </is>
      </c>
      <c r="B22" s="10" t="inlineStr">
        <is>
          <t>AMZN 10-Q/K</t>
        </is>
      </c>
      <c r="C22" s="10" t="inlineStr">
        <is>
          <t>%</t>
        </is>
      </c>
      <c r="D22" s="11" t="n"/>
      <c r="E22" s="11" t="n"/>
      <c r="F22" s="11" t="n"/>
      <c r="G22" s="11" t="n"/>
      <c r="H22" s="11" t="n">
        <v>16.07</v>
      </c>
      <c r="I22" s="11" t="n">
        <v>19.19</v>
      </c>
      <c r="J22" s="11" t="n">
        <v>19.48</v>
      </c>
      <c r="K22" s="11" t="n">
        <v>18.52</v>
      </c>
      <c r="L22" s="11" t="n">
        <v>24.35</v>
      </c>
      <c r="M22" s="11" t="n"/>
    </row>
    <row r="23">
      <c r="A23" s="6" t="inlineStr">
        <is>
          <t>Meta - Total Capex</t>
        </is>
      </c>
      <c r="B23" s="7" t="inlineStr">
        <is>
          <t>META 10-Q/K</t>
        </is>
      </c>
      <c r="C23" s="7" t="inlineStr">
        <is>
          <t>$B</t>
        </is>
      </c>
      <c r="D23" s="8" t="n"/>
      <c r="E23" s="8" t="n"/>
      <c r="F23" s="8" t="n"/>
      <c r="G23" s="8" t="n"/>
      <c r="H23" s="8" t="n">
        <v>12.94</v>
      </c>
      <c r="I23" s="8" t="n">
        <v>16.54</v>
      </c>
      <c r="J23" s="8" t="n">
        <v>18.83</v>
      </c>
      <c r="K23" s="8" t="n">
        <v>21.38</v>
      </c>
      <c r="L23" s="8" t="n">
        <v>19</v>
      </c>
      <c r="M23" s="8" t="n"/>
    </row>
    <row r="24">
      <c r="A24" s="9" t="inlineStr">
        <is>
          <t>Meta - Capex/Revenue %</t>
        </is>
      </c>
      <c r="B24" s="10" t="inlineStr">
        <is>
          <t>META 10-Q/K</t>
        </is>
      </c>
      <c r="C24" s="10" t="inlineStr">
        <is>
          <t>%</t>
        </is>
      </c>
      <c r="D24" s="11" t="n"/>
      <c r="E24" s="11" t="n"/>
      <c r="F24" s="11" t="n"/>
      <c r="G24" s="11" t="n"/>
      <c r="H24" s="11" t="n">
        <v>30.58</v>
      </c>
      <c r="I24" s="11" t="n">
        <v>34.81</v>
      </c>
      <c r="J24" s="11" t="n">
        <v>36.75</v>
      </c>
      <c r="K24" s="11" t="n">
        <v>35.7</v>
      </c>
      <c r="L24" s="11" t="n">
        <v>33.74</v>
      </c>
      <c r="M24" s="11" t="n"/>
    </row>
    <row r="25">
      <c r="A25" s="6" t="inlineStr">
        <is>
          <t>Combined Hyperscaler Capex</t>
        </is>
      </c>
      <c r="B25" s="7" t="inlineStr">
        <is>
          <t>Calculated</t>
        </is>
      </c>
      <c r="C25" s="7" t="inlineStr">
        <is>
          <t>$B</t>
        </is>
      </c>
      <c r="D25" s="8" t="n"/>
      <c r="E25" s="8" t="n"/>
      <c r="F25" s="8" t="n"/>
      <c r="G25" s="8" t="n"/>
      <c r="H25" s="8" t="n">
        <v>71.91</v>
      </c>
      <c r="I25" s="8" t="n">
        <v>88.25</v>
      </c>
      <c r="J25" s="8" t="n">
        <v>97.26000000000001</v>
      </c>
      <c r="K25" s="8" t="n">
        <v>118.63</v>
      </c>
      <c r="L25" s="8" t="n">
        <v>129.75</v>
      </c>
      <c r="M25" s="8" t="n"/>
    </row>
    <row r="26">
      <c r="A26" s="4" t="inlineStr">
        <is>
          <t>SEMICONDUCTOR / COMPUTE DEMAND</t>
        </is>
      </c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5" t="n"/>
    </row>
    <row r="27">
      <c r="A27" s="6" t="inlineStr">
        <is>
          <t>NVIDIA Data Center Revenue</t>
        </is>
      </c>
      <c r="B27" s="7" t="inlineStr">
        <is>
          <t>NVDA 10-Q/K</t>
        </is>
      </c>
      <c r="C27" s="7" t="inlineStr">
        <is>
          <t>$B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</row>
    <row r="28">
      <c r="A28" s="9" t="inlineStr">
        <is>
          <t>NVIDIA Data Center Revenue Growth (QoQ %)</t>
        </is>
      </c>
      <c r="B28" s="10" t="inlineStr">
        <is>
          <t>NVDA 10-Q/K</t>
        </is>
      </c>
      <c r="C28" s="10" t="inlineStr">
        <is>
          <t>%</t>
        </is>
      </c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</row>
    <row r="29">
      <c r="A29" s="6" t="inlineStr">
        <is>
          <t>AMD Data Center Revenue</t>
        </is>
      </c>
      <c r="B29" s="7" t="inlineStr">
        <is>
          <t>AMD 10-Q/K</t>
        </is>
      </c>
      <c r="C29" s="7" t="inlineStr">
        <is>
          <t>$B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</row>
    <row r="30">
      <c r="A30" s="9" t="inlineStr">
        <is>
          <t>TSMC Revenue (Advanced Nodes %)</t>
        </is>
      </c>
      <c r="B30" s="10" t="inlineStr">
        <is>
          <t>TSMC Monthly</t>
        </is>
      </c>
      <c r="C30" s="10" t="inlineStr">
        <is>
          <t>%</t>
        </is>
      </c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</row>
    <row r="31">
      <c r="A31" s="4" t="inlineStr">
        <is>
          <t>CORPORATE MARGINS &amp; PROFITABILITY</t>
        </is>
      </c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5" t="n"/>
    </row>
    <row r="32">
      <c r="A32" s="9" t="inlineStr">
        <is>
          <t>S&amp;P 500 Operating Margin (Overall)</t>
        </is>
      </c>
      <c r="B32" s="10" t="inlineStr">
        <is>
          <t>FactSet / Bloomberg</t>
        </is>
      </c>
      <c r="C32" s="10" t="inlineStr">
        <is>
          <t>%</t>
        </is>
      </c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</row>
    <row r="33">
      <c r="A33" s="6" t="inlineStr">
        <is>
          <t>S&amp;P 500 Operating Margin - Tech Sector</t>
        </is>
      </c>
      <c r="B33" s="7" t="inlineStr">
        <is>
          <t>FactSet / Bloomberg</t>
        </is>
      </c>
      <c r="C33" s="7" t="inlineStr">
        <is>
          <t>%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</row>
    <row r="34">
      <c r="A34" s="9" t="inlineStr">
        <is>
          <t>S&amp;P 500 Operating Margin - Financials</t>
        </is>
      </c>
      <c r="B34" s="10" t="inlineStr">
        <is>
          <t>FactSet / Bloomberg</t>
        </is>
      </c>
      <c r="C34" s="10" t="inlineStr">
        <is>
          <t>%</t>
        </is>
      </c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</row>
    <row r="35">
      <c r="A35" s="6" t="inlineStr">
        <is>
          <t>S&amp;P 500 EPS Growth (YoY %)</t>
        </is>
      </c>
      <c r="B35" s="7" t="inlineStr">
        <is>
          <t>FactSet / Bloomberg</t>
        </is>
      </c>
      <c r="C35" s="7" t="inlineStr">
        <is>
          <t>%</t>
        </is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</row>
    <row r="36">
      <c r="A36" s="4" t="inlineStr">
        <is>
          <t>AI COMPANY FINANCIALS (PRIVATE - EST.)</t>
        </is>
      </c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5" t="n"/>
    </row>
    <row r="37">
      <c r="A37" s="6" t="inlineStr">
        <is>
          <t>OpenAI ARR (est.)</t>
        </is>
      </c>
      <c r="B37" s="7" t="inlineStr">
        <is>
          <t>Press / Leaks</t>
        </is>
      </c>
      <c r="C37" s="7" t="inlineStr">
        <is>
          <t>$B</t>
        </is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</row>
    <row r="38">
      <c r="A38" s="9" t="inlineStr">
        <is>
          <t>OpenAI Gross Margin (est.)</t>
        </is>
      </c>
      <c r="B38" s="10" t="inlineStr">
        <is>
          <t>Press / Leaks</t>
        </is>
      </c>
      <c r="C38" s="10" t="inlineStr">
        <is>
          <t>%</t>
        </is>
      </c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</row>
    <row r="39">
      <c r="A39" s="6" t="inlineStr">
        <is>
          <t>Anthropic ARR (est.)</t>
        </is>
      </c>
      <c r="B39" s="7" t="inlineStr">
        <is>
          <t>Press / Leaks</t>
        </is>
      </c>
      <c r="C39" s="7" t="inlineStr">
        <is>
          <t>$B</t>
        </is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</row>
    <row r="40">
      <c r="A40" s="9" t="inlineStr">
        <is>
          <t>Anthropic Valuation (Last Round)</t>
        </is>
      </c>
      <c r="B40" s="10" t="inlineStr">
        <is>
          <t>Crunchbase / PitchBook</t>
        </is>
      </c>
      <c r="C40" s="10" t="inlineStr">
        <is>
          <t>$B</t>
        </is>
      </c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</row>
    <row r="41">
      <c r="A41" s="6" t="inlineStr">
        <is>
          <t>OpenAI Valuation (Last Round)</t>
        </is>
      </c>
      <c r="B41" s="7" t="inlineStr">
        <is>
          <t>Crunchbase / PitchBook</t>
        </is>
      </c>
      <c r="C41" s="7" t="inlineStr">
        <is>
          <t>$B</t>
        </is>
      </c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</row>
    <row r="42">
      <c r="A42" s="4" t="inlineStr">
        <is>
          <t>MACRO RATES &amp; CONDITIONS</t>
        </is>
      </c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5" t="n"/>
    </row>
    <row r="43">
      <c r="A43" s="6" t="inlineStr">
        <is>
          <t>10Y Treasury Yield (Avg)</t>
        </is>
      </c>
      <c r="B43" s="7" t="inlineStr">
        <is>
          <t>FRED</t>
        </is>
      </c>
      <c r="C43" s="7" t="inlineStr">
        <is>
          <t>%</t>
        </is>
      </c>
      <c r="D43" s="8" t="n">
        <v>4.16</v>
      </c>
      <c r="E43" s="8" t="n">
        <v>4.45</v>
      </c>
      <c r="F43" s="8" t="n">
        <v>3.95</v>
      </c>
      <c r="G43" s="8" t="n">
        <v>4.28</v>
      </c>
      <c r="H43" s="8" t="n">
        <v>4.45</v>
      </c>
      <c r="I43" s="8" t="n">
        <v>4.36</v>
      </c>
      <c r="J43" s="8" t="n">
        <v>4.26</v>
      </c>
      <c r="K43" s="8" t="n">
        <v>4.1</v>
      </c>
      <c r="L43" s="8" t="n">
        <v>4.2</v>
      </c>
      <c r="M43" s="8" t="n">
        <v>4.39</v>
      </c>
    </row>
    <row r="44">
      <c r="A44" s="9" t="inlineStr">
        <is>
          <t>Real 10Y Rate (TIPS)</t>
        </is>
      </c>
      <c r="B44" s="10" t="inlineStr">
        <is>
          <t>FRED</t>
        </is>
      </c>
      <c r="C44" s="10" t="inlineStr">
        <is>
          <t>%</t>
        </is>
      </c>
      <c r="D44" s="11" t="n">
        <v>1.87</v>
      </c>
      <c r="E44" s="11" t="n">
        <v>2.12</v>
      </c>
      <c r="F44" s="11" t="n">
        <v>1.79</v>
      </c>
      <c r="G44" s="11" t="n">
        <v>1.97</v>
      </c>
      <c r="H44" s="11" t="n">
        <v>2.07</v>
      </c>
      <c r="I44" s="11" t="n">
        <v>2.08</v>
      </c>
      <c r="J44" s="11" t="n">
        <v>1.88</v>
      </c>
      <c r="K44" s="11" t="n">
        <v>1.83</v>
      </c>
      <c r="L44" s="11" t="n">
        <v>1.88</v>
      </c>
      <c r="M44" s="11" t="n">
        <v>1.98</v>
      </c>
    </row>
    <row r="45">
      <c r="A45" s="6" t="inlineStr">
        <is>
          <t>ISM Manufacturing PMI</t>
        </is>
      </c>
      <c r="B45" s="7" t="inlineStr">
        <is>
          <t>ISM</t>
        </is>
      </c>
      <c r="C45" s="7" t="inlineStr">
        <is>
          <t>Index</t>
        </is>
      </c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</row>
    <row r="46">
      <c r="A46" s="9" t="inlineStr">
        <is>
          <t>ISM Services PMI</t>
        </is>
      </c>
      <c r="B46" s="10" t="inlineStr">
        <is>
          <t>ISM</t>
        </is>
      </c>
      <c r="C46" s="10" t="inlineStr">
        <is>
          <t>Index</t>
        </is>
      </c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</row>
    <row r="47">
      <c r="A47" s="6" t="inlineStr">
        <is>
          <t>Fed Funds Rate (Upper Bound)</t>
        </is>
      </c>
      <c r="B47" s="7" t="inlineStr">
        <is>
          <t>FOMC</t>
        </is>
      </c>
      <c r="C47" s="7" t="inlineStr">
        <is>
          <t>%</t>
        </is>
      </c>
      <c r="D47" s="8" t="n">
        <v>5.5</v>
      </c>
      <c r="E47" s="8" t="n">
        <v>5.5</v>
      </c>
      <c r="F47" s="8" t="n">
        <v>5.43</v>
      </c>
      <c r="G47" s="8" t="n">
        <v>4.82</v>
      </c>
      <c r="H47" s="8" t="n">
        <v>4.5</v>
      </c>
      <c r="I47" s="8" t="n">
        <v>4.5</v>
      </c>
      <c r="J47" s="8" t="n">
        <v>4.46</v>
      </c>
      <c r="K47" s="8" t="n">
        <v>4.02</v>
      </c>
      <c r="L47" s="8" t="n">
        <v>3.75</v>
      </c>
      <c r="M47" s="8" t="n">
        <v>3.75</v>
      </c>
    </row>
  </sheetData>
  <mergeCells count="8">
    <mergeCell ref="A36:M36"/>
    <mergeCell ref="A1:M1"/>
    <mergeCell ref="A31:M31"/>
    <mergeCell ref="A4:M4"/>
    <mergeCell ref="A26:M26"/>
    <mergeCell ref="A16:M16"/>
    <mergeCell ref="A10:M10"/>
    <mergeCell ref="A42:M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39C12"/>
    <outlinePr summaryBelow="1" summaryRight="1"/>
    <pageSetUpPr/>
  </sheetPr>
  <dimension ref="A1:H18"/>
  <sheetViews>
    <sheetView workbookViewId="0">
      <pane xSplit="1" ySplit="10" topLeftCell="B11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AI vs. HUMAN COST CROSSOVER ANALYSIS</t>
        </is>
      </c>
    </row>
    <row r="3">
      <c r="A3" s="4" t="inlineStr">
        <is>
          <t>ASSUMPTIONS (Blue = Editable)</t>
        </is>
      </c>
      <c r="B3" s="24" t="n"/>
      <c r="C3" s="24" t="n"/>
      <c r="D3" s="24" t="n"/>
      <c r="E3" s="24" t="n"/>
      <c r="F3" s="24" t="n"/>
      <c r="G3" s="24" t="n"/>
      <c r="H3" s="25" t="n"/>
    </row>
    <row r="4">
      <c r="A4" s="12" t="inlineStr">
        <is>
          <t>Avg tasks per employee per day</t>
        </is>
      </c>
      <c r="B4" s="13" t="n">
        <v>40</v>
      </c>
      <c r="C4" s="14" t="n"/>
      <c r="D4" s="14" t="n"/>
      <c r="E4" s="14" t="n"/>
      <c r="F4" s="14" t="n"/>
      <c r="G4" s="14" t="n"/>
      <c r="H4" s="14" t="n"/>
    </row>
    <row r="5">
      <c r="A5" s="12" t="inlineStr">
        <is>
          <t>Working days per year</t>
        </is>
      </c>
      <c r="B5" s="13" t="n">
        <v>250</v>
      </c>
      <c r="C5" s="14" t="n"/>
      <c r="D5" s="14" t="n"/>
      <c r="E5" s="14" t="n"/>
      <c r="F5" s="14" t="n"/>
      <c r="G5" s="14" t="n"/>
      <c r="H5" s="14" t="n"/>
    </row>
    <row r="6">
      <c r="A6" s="12" t="inlineStr">
        <is>
          <t>Avg tokens per AI task (input)</t>
        </is>
      </c>
      <c r="B6" s="13" t="n">
        <v>2000</v>
      </c>
      <c r="C6" s="14" t="n"/>
      <c r="D6" s="14" t="n"/>
      <c r="E6" s="14" t="n"/>
      <c r="F6" s="14" t="n"/>
      <c r="G6" s="14" t="n"/>
      <c r="H6" s="14" t="n"/>
    </row>
    <row r="7">
      <c r="A7" s="12" t="inlineStr">
        <is>
          <t>Avg tokens per AI task (output)</t>
        </is>
      </c>
      <c r="B7" s="13" t="n">
        <v>500</v>
      </c>
      <c r="C7" s="14" t="n"/>
      <c r="D7" s="14" t="n"/>
      <c r="E7" s="14" t="n"/>
      <c r="F7" s="14" t="n"/>
      <c r="G7" s="14" t="n"/>
      <c r="H7" s="14" t="n"/>
    </row>
    <row r="9">
      <c r="A9" s="4" t="inlineStr">
        <is>
          <t>COST COMPARISON BY ROLE</t>
        </is>
      </c>
      <c r="B9" s="24" t="n"/>
      <c r="C9" s="24" t="n"/>
      <c r="D9" s="24" t="n"/>
      <c r="E9" s="24" t="n"/>
      <c r="F9" s="24" t="n"/>
      <c r="G9" s="24" t="n"/>
      <c r="H9" s="25" t="n"/>
    </row>
    <row r="10">
      <c r="A10" s="3" t="inlineStr">
        <is>
          <t>Job Role</t>
        </is>
      </c>
      <c r="B10" s="3" t="inlineStr">
        <is>
          <t>Fully Loaded Annual Cost ($)</t>
        </is>
      </c>
      <c r="C10" s="3" t="inlineStr">
        <is>
          <t>Tasks/Day</t>
        </is>
      </c>
      <c r="D10" s="3" t="inlineStr">
        <is>
          <t>AI Cost/Task ($)</t>
        </is>
      </c>
      <c r="E10" s="3" t="inlineStr">
        <is>
          <t>Annual AI Cost ($)</t>
        </is>
      </c>
      <c r="F10" s="3" t="inlineStr">
        <is>
          <t>Savings ($)</t>
        </is>
      </c>
      <c r="G10" s="3" t="inlineStr">
        <is>
          <t>Savings %</t>
        </is>
      </c>
      <c r="H10" s="3" t="inlineStr">
        <is>
          <t>Breakeven API Price ($/1M tokens)</t>
        </is>
      </c>
    </row>
    <row r="11">
      <c r="A11" s="9" t="inlineStr">
        <is>
          <t>Customer Service Agent</t>
        </is>
      </c>
      <c r="B11" s="15" t="n">
        <v>55000</v>
      </c>
      <c r="C11" s="10" t="n">
        <v>50</v>
      </c>
      <c r="D11" s="16">
        <f>(B6/1000000*15 + B7/1000000*75)</f>
        <v/>
      </c>
      <c r="E11" s="15">
        <f>D11*C11*B5</f>
        <v/>
      </c>
      <c r="F11" s="15">
        <f>B11-E11</f>
        <v/>
      </c>
      <c r="G11" s="17">
        <f>IF(B11=0,0,F11/B11)</f>
        <v/>
      </c>
      <c r="H11" s="18">
        <f>IF(C11*B5=0,0, B11/(C11*B5*(B6+B7))*1000000)</f>
        <v/>
      </c>
    </row>
    <row r="12">
      <c r="A12" s="6" t="inlineStr">
        <is>
          <t>Data Entry Clerk</t>
        </is>
      </c>
      <c r="B12" s="19" t="n">
        <v>42000</v>
      </c>
      <c r="C12" s="7" t="n">
        <v>60</v>
      </c>
      <c r="D12" s="20">
        <f>(B6/1000000*15 + B7/1000000*75)</f>
        <v/>
      </c>
      <c r="E12" s="19">
        <f>D12*C12*B5</f>
        <v/>
      </c>
      <c r="F12" s="19">
        <f>B12-E12</f>
        <v/>
      </c>
      <c r="G12" s="21">
        <f>IF(B12=0,0,F12/B12)</f>
        <v/>
      </c>
      <c r="H12" s="22">
        <f>IF(C12*B5=0,0, B12/(C12*B5*(B6+B7))*1000000)</f>
        <v/>
      </c>
    </row>
    <row r="13">
      <c r="A13" s="9" t="inlineStr">
        <is>
          <t>Junior Analyst</t>
        </is>
      </c>
      <c r="B13" s="15" t="n">
        <v>75000</v>
      </c>
      <c r="C13" s="10" t="n">
        <v>30</v>
      </c>
      <c r="D13" s="16">
        <f>(B6/1000000*15 + B7/1000000*75)</f>
        <v/>
      </c>
      <c r="E13" s="15">
        <f>D13*C13*B5</f>
        <v/>
      </c>
      <c r="F13" s="15">
        <f>B13-E13</f>
        <v/>
      </c>
      <c r="G13" s="17">
        <f>IF(B13=0,0,F13/B13)</f>
        <v/>
      </c>
      <c r="H13" s="18">
        <f>IF(C13*B5=0,0, B13/(C13*B5*(B6+B7))*1000000)</f>
        <v/>
      </c>
    </row>
    <row r="14">
      <c r="A14" s="6" t="inlineStr">
        <is>
          <t>Content Writer</t>
        </is>
      </c>
      <c r="B14" s="19" t="n">
        <v>65000</v>
      </c>
      <c r="C14" s="7" t="n">
        <v>20</v>
      </c>
      <c r="D14" s="20">
        <f>(B6/1000000*15 + B7/1000000*75)</f>
        <v/>
      </c>
      <c r="E14" s="19">
        <f>D14*C14*B5</f>
        <v/>
      </c>
      <c r="F14" s="19">
        <f>B14-E14</f>
        <v/>
      </c>
      <c r="G14" s="21">
        <f>IF(B14=0,0,F14/B14)</f>
        <v/>
      </c>
      <c r="H14" s="22">
        <f>IF(C14*B5=0,0, B14/(C14*B5*(B6+B7))*1000000)</f>
        <v/>
      </c>
    </row>
    <row r="15">
      <c r="A15" s="9" t="inlineStr">
        <is>
          <t>Legal Paralegal</t>
        </is>
      </c>
      <c r="B15" s="15" t="n">
        <v>70000</v>
      </c>
      <c r="C15" s="10" t="n">
        <v>25</v>
      </c>
      <c r="D15" s="16">
        <f>(B6/1000000*15 + B7/1000000*75)</f>
        <v/>
      </c>
      <c r="E15" s="15">
        <f>D15*C15*B5</f>
        <v/>
      </c>
      <c r="F15" s="15">
        <f>B15-E15</f>
        <v/>
      </c>
      <c r="G15" s="17">
        <f>IF(B15=0,0,F15/B15)</f>
        <v/>
      </c>
      <c r="H15" s="18">
        <f>IF(C15*B5=0,0, B15/(C15*B5*(B6+B7))*1000000)</f>
        <v/>
      </c>
    </row>
    <row r="16">
      <c r="A16" s="6" t="inlineStr">
        <is>
          <t>IT Help Desk (L1)</t>
        </is>
      </c>
      <c r="B16" s="19" t="n">
        <v>52000</v>
      </c>
      <c r="C16" s="7" t="n">
        <v>45</v>
      </c>
      <c r="D16" s="20">
        <f>(B6/1000000*15 + B7/1000000*75)</f>
        <v/>
      </c>
      <c r="E16" s="19">
        <f>D16*C16*B5</f>
        <v/>
      </c>
      <c r="F16" s="19">
        <f>B16-E16</f>
        <v/>
      </c>
      <c r="G16" s="21">
        <f>IF(B16=0,0,F16/B16)</f>
        <v/>
      </c>
      <c r="H16" s="22">
        <f>IF(C16*B5=0,0, B16/(C16*B5*(B6+B7))*1000000)</f>
        <v/>
      </c>
    </row>
    <row r="17">
      <c r="A17" s="9" t="inlineStr">
        <is>
          <t>Bookkeeper</t>
        </is>
      </c>
      <c r="B17" s="15" t="n">
        <v>50000</v>
      </c>
      <c r="C17" s="10" t="n">
        <v>35</v>
      </c>
      <c r="D17" s="16">
        <f>(B6/1000000*15 + B7/1000000*75)</f>
        <v/>
      </c>
      <c r="E17" s="15">
        <f>D17*C17*B5</f>
        <v/>
      </c>
      <c r="F17" s="15">
        <f>B17-E17</f>
        <v/>
      </c>
      <c r="G17" s="17">
        <f>IF(B17=0,0,F17/B17)</f>
        <v/>
      </c>
      <c r="H17" s="18">
        <f>IF(C17*B5=0,0, B17/(C17*B5*(B6+B7))*1000000)</f>
        <v/>
      </c>
    </row>
    <row r="18">
      <c r="A18" s="6" t="inlineStr">
        <is>
          <t>Insurance Claims Processor</t>
        </is>
      </c>
      <c r="B18" s="19" t="n">
        <v>58000</v>
      </c>
      <c r="C18" s="7" t="n">
        <v>40</v>
      </c>
      <c r="D18" s="20">
        <f>(B6/1000000*15 + B7/1000000*75)</f>
        <v/>
      </c>
      <c r="E18" s="19">
        <f>D18*C18*B5</f>
        <v/>
      </c>
      <c r="F18" s="19">
        <f>B18-E18</f>
        <v/>
      </c>
      <c r="G18" s="21">
        <f>IF(B18=0,0,F18/B18)</f>
        <v/>
      </c>
      <c r="H18" s="22">
        <f>IF(C18*B5=0,0, B18/(C18*B5*(B6+B7))*1000000)</f>
        <v/>
      </c>
    </row>
  </sheetData>
  <mergeCells count="3">
    <mergeCell ref="A9:H9"/>
    <mergeCell ref="A3:H3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74C3C"/>
    <outlinePr summaryBelow="1" summaryRight="1"/>
    <pageSetUpPr/>
  </sheetPr>
  <dimension ref="A1:F26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35" customWidth="1" min="2" max="2"/>
    <col width="16" customWidth="1" min="3" max="3"/>
    <col width="32" customWidth="1" min="4" max="4"/>
    <col width="16" customWidth="1" min="5" max="5"/>
    <col width="42" customWidth="1" min="6" max="6"/>
  </cols>
  <sheetData>
    <row r="1">
      <c r="A1" s="1" t="inlineStr">
        <is>
          <t>THESIS STATUS DASHBOARD</t>
        </is>
      </c>
    </row>
    <row r="3">
      <c r="A3" s="4" t="inlineStr">
        <is>
          <t>THESIS LEGS — STATUS TRACKING</t>
        </is>
      </c>
      <c r="B3" s="24" t="n"/>
      <c r="C3" s="24" t="n"/>
      <c r="D3" s="24" t="n"/>
      <c r="E3" s="24" t="n"/>
      <c r="F3" s="25" t="n"/>
    </row>
    <row r="4">
      <c r="A4" s="3" t="inlineStr">
        <is>
          <t>Thesis Leg</t>
        </is>
      </c>
      <c r="B4" s="3" t="inlineStr">
        <is>
          <t>Current Status</t>
        </is>
      </c>
      <c r="C4" s="3" t="inlineStr">
        <is>
          <t>Direction (▲▼▬)</t>
        </is>
      </c>
      <c r="D4" s="3" t="inlineStr">
        <is>
          <t>Key Metric to Watch</t>
        </is>
      </c>
      <c r="E4" s="3" t="inlineStr">
        <is>
          <t>Falsification Signal</t>
        </is>
      </c>
      <c r="F4" s="3" t="inlineStr">
        <is>
          <t>Notes / Latest Update</t>
        </is>
      </c>
    </row>
    <row r="5">
      <c r="A5" s="9" t="inlineStr">
        <is>
          <t>1. Oil stays elevated ($85-90)</t>
        </is>
      </c>
      <c r="B5" s="23" t="inlineStr">
        <is>
          <t>Enter status</t>
        </is>
      </c>
      <c r="C5" s="23" t="inlineStr">
        <is>
          <t>▬</t>
        </is>
      </c>
      <c r="D5" s="10" t="inlineStr">
        <is>
          <t>WTI / Brent price</t>
        </is>
      </c>
      <c r="E5" s="10" t="inlineStr">
        <is>
          <t>Oil drops below $70 sustained for 3+ months</t>
        </is>
      </c>
      <c r="F5" s="23" t="inlineStr"/>
    </row>
    <row r="6">
      <c r="A6" s="6" t="inlineStr">
        <is>
          <t>2. Core inflation stays sticky</t>
        </is>
      </c>
      <c r="B6" s="23" t="inlineStr">
        <is>
          <t>Enter status</t>
        </is>
      </c>
      <c r="C6" s="23" t="inlineStr">
        <is>
          <t>▬</t>
        </is>
      </c>
      <c r="D6" s="7" t="inlineStr">
        <is>
          <t>Supercore CPI, Core PCE</t>
        </is>
      </c>
      <c r="E6" s="7" t="inlineStr">
        <is>
          <t>Supercore CPI drops below 3% YoY for 2+ months</t>
        </is>
      </c>
      <c r="F6" s="23" t="inlineStr"/>
    </row>
    <row r="7">
      <c r="A7" s="9" t="inlineStr">
        <is>
          <t>3. Productivity boom NOT yet here</t>
        </is>
      </c>
      <c r="B7" s="23" t="inlineStr">
        <is>
          <t>Enter status</t>
        </is>
      </c>
      <c r="C7" s="23" t="inlineStr">
        <is>
          <t>▬</t>
        </is>
      </c>
      <c r="D7" s="10" t="inlineStr">
        <is>
          <t>Nonfarm Productivity, Unit Labor Costs</t>
        </is>
      </c>
      <c r="E7" s="10" t="inlineStr">
        <is>
          <t>Productivity growth &gt;3% for 2+ quarters w/ falling ULC</t>
        </is>
      </c>
      <c r="F7" s="23" t="inlineStr"/>
    </row>
    <row r="8">
      <c r="A8" s="6" t="inlineStr">
        <is>
          <t>4. Big tech leads AI layoffs</t>
        </is>
      </c>
      <c r="B8" s="23" t="inlineStr">
        <is>
          <t>Enter status</t>
        </is>
      </c>
      <c r="C8" s="23" t="inlineStr">
        <is>
          <t>▬</t>
        </is>
      </c>
      <c r="D8" s="7" t="inlineStr">
        <is>
          <t>Challenger cuts (AI-tagged), JOLTS info sector</t>
        </is>
      </c>
      <c r="E8" s="7" t="inlineStr">
        <is>
          <t>No increase in AI-related layoff announcements by mid-2026</t>
        </is>
      </c>
      <c r="F8" s="23" t="inlineStr"/>
    </row>
    <row r="9">
      <c r="A9" s="9" t="inlineStr">
        <is>
          <t>5. Small/mid cos wait on AI adoption</t>
        </is>
      </c>
      <c r="B9" s="23" t="inlineStr">
        <is>
          <t>Enter status</t>
        </is>
      </c>
      <c r="C9" s="23" t="inlineStr">
        <is>
          <t>▬</t>
        </is>
      </c>
      <c r="D9" s="10" t="inlineStr">
        <is>
          <t>JOLTS openings (small biz), NFIB hiring plans</t>
        </is>
      </c>
      <c r="E9" s="10" t="inlineStr">
        <is>
          <t>Small biz AI adoption &gt;40% in surveys w/ active workforce cuts</t>
        </is>
      </c>
      <c r="F9" s="23" t="inlineStr"/>
    </row>
    <row r="10">
      <c r="A10" s="6" t="inlineStr">
        <is>
          <t>6. AI capex continues rising</t>
        </is>
      </c>
      <c r="B10" s="23" t="inlineStr">
        <is>
          <t>Enter status</t>
        </is>
      </c>
      <c r="C10" s="23" t="inlineStr">
        <is>
          <t>▬</t>
        </is>
      </c>
      <c r="D10" s="7" t="inlineStr">
        <is>
          <t>Hyperscaler capex, NVDA DC revenue</t>
        </is>
      </c>
      <c r="E10" s="7" t="inlineStr">
        <is>
          <t>Combined hyperscaler capex declines QoQ for 2+ quarters</t>
        </is>
      </c>
      <c r="F10" s="23" t="inlineStr"/>
    </row>
    <row r="11">
      <c r="A11" s="9" t="inlineStr">
        <is>
          <t>7. AI pricing must keep falling</t>
        </is>
      </c>
      <c r="B11" s="23" t="inlineStr">
        <is>
          <t>Enter status</t>
        </is>
      </c>
      <c r="C11" s="23" t="inlineStr">
        <is>
          <t>▬</t>
        </is>
      </c>
      <c r="D11" s="10" t="inlineStr">
        <is>
          <t>API $/1M tokens (frontier models)</t>
        </is>
      </c>
      <c r="E11" s="10" t="inlineStr">
        <is>
          <t>API prices plateau or rise for 6+ months</t>
        </is>
      </c>
      <c r="F11" s="23" t="inlineStr"/>
    </row>
    <row r="12">
      <c r="A12" s="6" t="inlineStr">
        <is>
          <t>8. AI cos need public markets</t>
        </is>
      </c>
      <c r="B12" s="23" t="inlineStr">
        <is>
          <t>Enter status</t>
        </is>
      </c>
      <c r="C12" s="23" t="inlineStr">
        <is>
          <t>▬</t>
        </is>
      </c>
      <c r="D12" s="7" t="inlineStr">
        <is>
          <t>IPO filings, funding rounds, burn rate reports</t>
        </is>
      </c>
      <c r="E12" s="7" t="inlineStr">
        <is>
          <t>Major AI cos achieve profitability pre-IPO</t>
        </is>
      </c>
      <c r="F12" s="23" t="inlineStr"/>
    </row>
    <row r="13">
      <c r="A13" s="9" t="inlineStr">
        <is>
          <t>9. Electricity becomes bottleneck</t>
        </is>
      </c>
      <c r="B13" s="23" t="inlineStr">
        <is>
          <t>Enter status</t>
        </is>
      </c>
      <c r="C13" s="23" t="inlineStr">
        <is>
          <t>▬</t>
        </is>
      </c>
      <c r="D13" s="10" t="inlineStr">
        <is>
          <t>PJM prices, utility interconnection queue</t>
        </is>
      </c>
      <c r="E13" s="10" t="inlineStr">
        <is>
          <t>Wholesale electricity falls below 2024 levels near DC hubs</t>
        </is>
      </c>
      <c r="F13" s="23" t="inlineStr"/>
    </row>
    <row r="14">
      <c r="A14" s="6" t="inlineStr">
        <is>
          <t>10. Eventual disinflation wave (2-4 yr)</t>
        </is>
      </c>
      <c r="B14" s="23" t="inlineStr">
        <is>
          <t>Enter status</t>
        </is>
      </c>
      <c r="C14" s="23" t="inlineStr">
        <is>
          <t>▬</t>
        </is>
      </c>
      <c r="D14" s="7" t="inlineStr">
        <is>
          <t>Productivity + ULC trend, AI penetration rate</t>
        </is>
      </c>
      <c r="E14" s="7" t="inlineStr">
        <is>
          <t>Inflation accelerates despite rising AI adoption</t>
        </is>
      </c>
      <c r="F14" s="23" t="inlineStr"/>
    </row>
    <row r="17">
      <c r="A17" s="4" t="inlineStr">
        <is>
          <t>KEY RATIOS &amp; COMPUTED SIGNALS</t>
        </is>
      </c>
      <c r="B17" s="24" t="n"/>
      <c r="C17" s="24" t="n"/>
      <c r="D17" s="24" t="n"/>
      <c r="E17" s="24" t="n"/>
      <c r="F17" s="25" t="n"/>
    </row>
    <row r="18">
      <c r="A18" s="3" t="inlineStr">
        <is>
          <t>Ratio / Signal</t>
        </is>
      </c>
      <c r="B18" s="3" t="inlineStr">
        <is>
          <t>Formula</t>
        </is>
      </c>
      <c r="C18" s="3" t="inlineStr">
        <is>
          <t>Current Value</t>
        </is>
      </c>
      <c r="D18" s="3" t="inlineStr">
        <is>
          <t>Threshold</t>
        </is>
      </c>
      <c r="E18" s="3" t="inlineStr">
        <is>
          <t>Status</t>
        </is>
      </c>
      <c r="F18" s="3" t="inlineStr">
        <is>
          <t>Interpretation</t>
        </is>
      </c>
    </row>
    <row r="19">
      <c r="A19" s="9" t="inlineStr">
        <is>
          <t>Hyperscaler Capex / Revenue</t>
        </is>
      </c>
      <c r="B19" s="10" t="inlineStr">
        <is>
          <t>Combined capex / combined revenue</t>
        </is>
      </c>
      <c r="C19" s="23" t="inlineStr"/>
      <c r="D19" s="10" t="inlineStr">
        <is>
          <t>&gt;15% = aggressive buildout</t>
        </is>
      </c>
      <c r="E19" s="23" t="inlineStr"/>
      <c r="F19" s="10" t="inlineStr">
        <is>
          <t>Rising = still in buildout phase</t>
        </is>
      </c>
    </row>
    <row r="20">
      <c r="A20" s="6" t="inlineStr">
        <is>
          <t>NVDA DC Rev Growth (QoQ)</t>
        </is>
      </c>
      <c r="B20" s="7" t="inlineStr">
        <is>
          <t>Current / Prior - 1</t>
        </is>
      </c>
      <c r="C20" s="23" t="inlineStr"/>
      <c r="D20" s="7" t="inlineStr">
        <is>
          <t>&lt;10% QoQ = demand plateau</t>
        </is>
      </c>
      <c r="E20" s="23" t="inlineStr"/>
      <c r="F20" s="7" t="inlineStr">
        <is>
          <t>Decelerating = compute demand peaking</t>
        </is>
      </c>
    </row>
    <row r="21">
      <c r="A21" s="9" t="inlineStr">
        <is>
          <t>AI API Price Index (Normalized)</t>
        </is>
      </c>
      <c r="B21" s="10" t="inlineStr">
        <is>
          <t>Current frontier price / Jan-24 price</t>
        </is>
      </c>
      <c r="C21" s="23" t="inlineStr"/>
      <c r="D21" s="10" t="inlineStr">
        <is>
          <t>&lt;0.3 = adoption-enabling</t>
        </is>
      </c>
      <c r="E21" s="23" t="inlineStr"/>
      <c r="F21" s="10" t="inlineStr">
        <is>
          <t>Falling fast = thesis on track</t>
        </is>
      </c>
    </row>
    <row r="22">
      <c r="A22" s="6" t="inlineStr">
        <is>
          <t>Job Openings / Unemployment</t>
        </is>
      </c>
      <c r="B22" s="7" t="inlineStr">
        <is>
          <t>JOLTS openings / unemployed persons</t>
        </is>
      </c>
      <c r="C22" s="23" t="inlineStr"/>
      <c r="D22" s="7" t="inlineStr">
        <is>
          <t>&lt;1.0 = labor market loosening</t>
        </is>
      </c>
      <c r="E22" s="23" t="inlineStr"/>
      <c r="F22" s="7" t="inlineStr">
        <is>
          <t>Falling = slack building</t>
        </is>
      </c>
    </row>
    <row r="23">
      <c r="A23" s="9" t="inlineStr">
        <is>
          <t>Supercore CPI Trend (3m avg)</t>
        </is>
      </c>
      <c r="B23" s="10" t="inlineStr">
        <is>
          <t>3-month moving average</t>
        </is>
      </c>
      <c r="C23" s="23" t="inlineStr"/>
      <c r="D23" s="10" t="inlineStr">
        <is>
          <t>&lt;3.0% = disinflation starting</t>
        </is>
      </c>
      <c r="E23" s="23" t="inlineStr"/>
      <c r="F23" s="10" t="inlineStr">
        <is>
          <t>Persistent &gt;3.5% = sticky inflation</t>
        </is>
      </c>
    </row>
    <row r="24">
      <c r="A24" s="6" t="inlineStr">
        <is>
          <t>AI Layoff Intensity</t>
        </is>
      </c>
      <c r="B24" s="7" t="inlineStr">
        <is>
          <t>AI-tagged cuts / total cuts</t>
        </is>
      </c>
      <c r="C24" s="23" t="inlineStr"/>
      <c r="D24" s="7" t="inlineStr">
        <is>
          <t>&gt;20% = AI displacement wave</t>
        </is>
      </c>
      <c r="E24" s="23" t="inlineStr"/>
      <c r="F24" s="7" t="inlineStr">
        <is>
          <t>Rising share = thesis accelerating</t>
        </is>
      </c>
    </row>
    <row r="25">
      <c r="A25" s="9" t="inlineStr">
        <is>
          <t>Unit Labor Cost vs Productivity</t>
        </is>
      </c>
      <c r="B25" s="10" t="inlineStr">
        <is>
          <t>ULC growth - Productivity growth</t>
        </is>
      </c>
      <c r="C25" s="23" t="inlineStr"/>
      <c r="D25" s="10" t="inlineStr">
        <is>
          <t>&lt;0 = productivity winning</t>
        </is>
      </c>
      <c r="E25" s="23" t="inlineStr"/>
      <c r="F25" s="10" t="inlineStr">
        <is>
          <t>Negative = deflationary pressure</t>
        </is>
      </c>
    </row>
    <row r="26">
      <c r="A26" s="6" t="inlineStr">
        <is>
          <t>Electricity Cost Pressure</t>
        </is>
      </c>
      <c r="B26" s="7" t="inlineStr">
        <is>
          <t>PJM YoY % change</t>
        </is>
      </c>
      <c r="C26" s="23" t="inlineStr"/>
      <c r="D26" s="7" t="inlineStr">
        <is>
          <t>&gt;20% = bottleneck forming</t>
        </is>
      </c>
      <c r="E26" s="23" t="inlineStr"/>
      <c r="F26" s="7" t="inlineStr">
        <is>
          <t>Rising = AI infra cost headwind</t>
        </is>
      </c>
    </row>
  </sheetData>
  <mergeCells count="3">
    <mergeCell ref="A3:F3"/>
    <mergeCell ref="A1:F1"/>
    <mergeCell ref="A17:F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E44AD"/>
    <outlinePr summaryBelow="1" summaryRight="1"/>
    <pageSetUpPr/>
  </sheetPr>
  <dimension ref="A1:E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55" customWidth="1" min="3" max="3"/>
    <col width="28" customWidth="1" min="4" max="4"/>
    <col width="45" customWidth="1" min="5" max="5"/>
  </cols>
  <sheetData>
    <row r="1">
      <c r="A1" s="1" t="inlineStr">
        <is>
          <t>DATA SOURCES &amp; ACCESS REFERENCE</t>
        </is>
      </c>
    </row>
    <row r="3">
      <c r="A3" s="3" t="inlineStr">
        <is>
          <t>Metric Category</t>
        </is>
      </c>
      <c r="B3" s="3" t="inlineStr">
        <is>
          <t>Source</t>
        </is>
      </c>
      <c r="C3" s="3" t="inlineStr">
        <is>
          <t>URL / Access</t>
        </is>
      </c>
      <c r="D3" s="3" t="inlineStr">
        <is>
          <t>Frequency</t>
        </is>
      </c>
      <c r="E3" s="3" t="inlineStr">
        <is>
          <t>Notes</t>
        </is>
      </c>
    </row>
    <row r="4">
      <c r="A4" s="9" t="inlineStr">
        <is>
          <t>Core PCE</t>
        </is>
      </c>
      <c r="B4" s="10" t="inlineStr">
        <is>
          <t>BEA via FRED</t>
        </is>
      </c>
      <c r="C4" s="10" t="inlineStr">
        <is>
          <t>https://fred.stlouisfed.org/series/PCEPILFE</t>
        </is>
      </c>
      <c r="D4" s="10" t="inlineStr">
        <is>
          <t>Monthly (last Friday of month)</t>
        </is>
      </c>
      <c r="E4" s="10" t="inlineStr">
        <is>
          <t>Released ~30 days after month end</t>
        </is>
      </c>
    </row>
    <row r="5">
      <c r="A5" s="6" t="inlineStr">
        <is>
          <t>Core CPI / Supercore</t>
        </is>
      </c>
      <c r="B5" s="7" t="inlineStr">
        <is>
          <t>BLS</t>
        </is>
      </c>
      <c r="C5" s="7" t="inlineStr">
        <is>
          <t>https://www.bls.gov/cpi/</t>
        </is>
      </c>
      <c r="D5" s="7" t="inlineStr">
        <is>
          <t>Monthly (2nd week)</t>
        </is>
      </c>
      <c r="E5" s="7" t="inlineStr">
        <is>
          <t>Supercore = CPI Services ex-Shelter ex-Energy</t>
        </is>
      </c>
    </row>
    <row r="6">
      <c r="A6" s="9" t="inlineStr">
        <is>
          <t>Real Personal Spending</t>
        </is>
      </c>
      <c r="B6" s="10" t="inlineStr">
        <is>
          <t>BEA via FRED</t>
        </is>
      </c>
      <c r="C6" s="10" t="inlineStr">
        <is>
          <t>https://fred.stlouisfed.org/series/PCEC96</t>
        </is>
      </c>
      <c r="D6" s="10" t="inlineStr">
        <is>
          <t>Monthly (last business day)</t>
        </is>
      </c>
      <c r="E6" s="10" t="inlineStr">
        <is>
          <t>Real PCE in chained 2017 dollars; YoY = real consumption growth</t>
        </is>
      </c>
    </row>
    <row r="7">
      <c r="A7" s="6" t="inlineStr">
        <is>
          <t>Real Avg Hourly Earnings</t>
        </is>
      </c>
      <c r="B7" s="7" t="inlineStr">
        <is>
          <t>BLS via FRED (derived)</t>
        </is>
      </c>
      <c r="C7" s="7" t="inlineStr">
        <is>
          <t>CES0500000003 (nom AHE) - CPIAUCSL</t>
        </is>
      </c>
      <c r="D7" s="7" t="inlineStr">
        <is>
          <t>Monthly (1st Friday)</t>
        </is>
      </c>
      <c r="E7" s="7" t="inlineStr">
        <is>
          <t>Derived as nom AHE YoY minus CPI YoY</t>
        </is>
      </c>
    </row>
    <row r="8">
      <c r="A8" s="9" t="inlineStr">
        <is>
          <t>WTI / Brent Oil</t>
        </is>
      </c>
      <c r="B8" s="10" t="inlineStr">
        <is>
          <t>EIA via FRED</t>
        </is>
      </c>
      <c r="C8" s="10" t="inlineStr">
        <is>
          <t>https://fred.stlouisfed.org/series/DCOILWTICO</t>
        </is>
      </c>
      <c r="D8" s="10" t="inlineStr">
        <is>
          <t>Daily</t>
        </is>
      </c>
      <c r="E8" s="10" t="inlineStr">
        <is>
          <t>Use monthly average for tracker</t>
        </is>
      </c>
    </row>
    <row r="9">
      <c r="A9" s="6" t="inlineStr">
        <is>
          <t>Copper</t>
        </is>
      </c>
      <c r="B9" s="7" t="inlineStr">
        <is>
          <t>COMEX via FRED</t>
        </is>
      </c>
      <c r="C9" s="7" t="inlineStr">
        <is>
          <t>https://fred.stlouisfed.org/series/PCOPPUSDM</t>
        </is>
      </c>
      <c r="D9" s="7" t="inlineStr">
        <is>
          <t>Monthly</t>
        </is>
      </c>
      <c r="E9" s="7" t="inlineStr">
        <is>
          <t>Global copper price per pound</t>
        </is>
      </c>
    </row>
    <row r="10">
      <c r="A10" s="9" t="inlineStr">
        <is>
          <t>PJM Electricity</t>
        </is>
      </c>
      <c r="B10" s="10" t="inlineStr">
        <is>
          <t>PJM Interconnection</t>
        </is>
      </c>
      <c r="C10" s="10" t="inlineStr">
        <is>
          <t>https://dataminer2.pjm.com/</t>
        </is>
      </c>
      <c r="D10" s="10" t="inlineStr">
        <is>
          <t>Daily/Hourly</t>
        </is>
      </c>
      <c r="E10" s="10" t="inlineStr">
        <is>
          <t>Use DA LMP for major hubs</t>
        </is>
      </c>
    </row>
    <row r="11">
      <c r="A11" s="6" t="inlineStr">
        <is>
          <t>Initial/Continuing Claims</t>
        </is>
      </c>
      <c r="B11" s="7" t="inlineStr">
        <is>
          <t>DOL via FRED</t>
        </is>
      </c>
      <c r="C11" s="7" t="inlineStr">
        <is>
          <t>https://fred.stlouisfed.org/series/ICSA</t>
        </is>
      </c>
      <c r="D11" s="7" t="inlineStr">
        <is>
          <t>Weekly (Thursday)</t>
        </is>
      </c>
      <c r="E11" s="7" t="inlineStr">
        <is>
          <t>Avg weekly for monthly figure</t>
        </is>
      </c>
    </row>
    <row r="12">
      <c r="A12" s="9" t="inlineStr">
        <is>
          <t>JOLTS</t>
        </is>
      </c>
      <c r="B12" s="10" t="inlineStr">
        <is>
          <t>BLS</t>
        </is>
      </c>
      <c r="C12" s="10" t="inlineStr">
        <is>
          <t>https://www.bls.gov/jlt/</t>
        </is>
      </c>
      <c r="D12" s="10" t="inlineStr">
        <is>
          <t>Monthly (~2 month lag)</t>
        </is>
      </c>
      <c r="E12" s="10" t="inlineStr">
        <is>
          <t>Openings, quits, layoffs by sector</t>
        </is>
      </c>
    </row>
    <row r="13">
      <c r="A13" s="6" t="inlineStr">
        <is>
          <t>Challenger Job Cuts</t>
        </is>
      </c>
      <c r="B13" s="7" t="inlineStr">
        <is>
          <t>Challenger Gray &amp; Christmas</t>
        </is>
      </c>
      <c r="C13" s="7" t="inlineStr">
        <is>
          <t>https://www.challengergray.com/</t>
        </is>
      </c>
      <c r="D13" s="7" t="inlineStr">
        <is>
          <t>Monthly (1st Thursday)</t>
        </is>
      </c>
      <c r="E13" s="7" t="inlineStr">
        <is>
          <t>Filter by reason for AI-related</t>
        </is>
      </c>
    </row>
    <row r="14">
      <c r="A14" s="9" t="inlineStr">
        <is>
          <t>Nonfarm Productivity</t>
        </is>
      </c>
      <c r="B14" s="10" t="inlineStr">
        <is>
          <t>BLS</t>
        </is>
      </c>
      <c r="C14" s="10" t="inlineStr">
        <is>
          <t>https://www.bls.gov/lpc/</t>
        </is>
      </c>
      <c r="D14" s="10" t="inlineStr">
        <is>
          <t>Quarterly (~35 day lag)</t>
        </is>
      </c>
      <c r="E14" s="10" t="inlineStr">
        <is>
          <t>Preliminary, then revised</t>
        </is>
      </c>
    </row>
    <row r="15">
      <c r="A15" s="6" t="inlineStr">
        <is>
          <t>Unit Labor Costs</t>
        </is>
      </c>
      <c r="B15" s="7" t="inlineStr">
        <is>
          <t>BLS</t>
        </is>
      </c>
      <c r="C15" s="7" t="inlineStr">
        <is>
          <t>https://www.bls.gov/lpc/</t>
        </is>
      </c>
      <c r="D15" s="7" t="inlineStr">
        <is>
          <t>Quarterly</t>
        </is>
      </c>
      <c r="E15" s="7" t="inlineStr">
        <is>
          <t>Released with productivity</t>
        </is>
      </c>
    </row>
    <row r="16">
      <c r="A16" s="9" t="inlineStr">
        <is>
          <t>Hyperscaler Capex</t>
        </is>
      </c>
      <c r="B16" s="10" t="inlineStr">
        <is>
          <t>SEC Filings (10-Q/K)</t>
        </is>
      </c>
      <c r="C16" s="10" t="inlineStr">
        <is>
          <t>https://www.sec.gov/cgi-bin/browse-edgar</t>
        </is>
      </c>
      <c r="D16" s="10" t="inlineStr">
        <is>
          <t>Quarterly</t>
        </is>
      </c>
      <c r="E16" s="10" t="inlineStr">
        <is>
          <t>MSFT, GOOG, AMZN, META earnings</t>
        </is>
      </c>
    </row>
    <row r="17">
      <c r="A17" s="6" t="inlineStr">
        <is>
          <t>NVIDIA DC Revenue</t>
        </is>
      </c>
      <c r="B17" s="7" t="inlineStr">
        <is>
          <t>NVDA Earnings</t>
        </is>
      </c>
      <c r="C17" s="7" t="inlineStr">
        <is>
          <t>https://investor.nvidia.com/</t>
        </is>
      </c>
      <c r="D17" s="7" t="inlineStr">
        <is>
          <t>Quarterly</t>
        </is>
      </c>
      <c r="E17" s="7" t="inlineStr">
        <is>
          <t>Data Center segment in earnings release</t>
        </is>
      </c>
    </row>
    <row r="18">
      <c r="A18" s="9" t="inlineStr">
        <is>
          <t>API Pricing - Anthropic</t>
        </is>
      </c>
      <c r="B18" s="10" t="inlineStr">
        <is>
          <t>Anthropic</t>
        </is>
      </c>
      <c r="C18" s="10" t="inlineStr">
        <is>
          <t>https://docs.anthropic.com/en/docs/about-claude/models</t>
        </is>
      </c>
      <c r="D18" s="10" t="inlineStr">
        <is>
          <t>As updated</t>
        </is>
      </c>
      <c r="E18" s="10" t="inlineStr">
        <is>
          <t>Track flagship model pricing</t>
        </is>
      </c>
    </row>
    <row r="19">
      <c r="A19" s="6" t="inlineStr">
        <is>
          <t>API Pricing - OpenAI</t>
        </is>
      </c>
      <c r="B19" s="7" t="inlineStr">
        <is>
          <t>OpenAI</t>
        </is>
      </c>
      <c r="C19" s="7" t="inlineStr">
        <is>
          <t>https://openai.com/api/pricing/</t>
        </is>
      </c>
      <c r="D19" s="7" t="inlineStr">
        <is>
          <t>As updated</t>
        </is>
      </c>
      <c r="E19" s="7" t="inlineStr">
        <is>
          <t>Track GPT-4o / frontier pricing</t>
        </is>
      </c>
    </row>
    <row r="20">
      <c r="A20" s="9" t="inlineStr">
        <is>
          <t>Unemployment (U-3, U-6)</t>
        </is>
      </c>
      <c r="B20" s="10" t="inlineStr">
        <is>
          <t>BLS</t>
        </is>
      </c>
      <c r="C20" s="10" t="inlineStr">
        <is>
          <t>https://www.bls.gov/cps/</t>
        </is>
      </c>
      <c r="D20" s="10" t="inlineStr">
        <is>
          <t>Monthly (1st Friday)</t>
        </is>
      </c>
      <c r="E20" s="10" t="inlineStr">
        <is>
          <t>U-6 includes discouraged + part-time</t>
        </is>
      </c>
    </row>
    <row r="21">
      <c r="A21" s="6" t="inlineStr">
        <is>
          <t>ISM PMI</t>
        </is>
      </c>
      <c r="B21" s="7" t="inlineStr">
        <is>
          <t>ISM</t>
        </is>
      </c>
      <c r="C21" s="7" t="inlineStr">
        <is>
          <t>https://www.ismworld.org/</t>
        </is>
      </c>
      <c r="D21" s="7" t="inlineStr">
        <is>
          <t>Monthly (1st business day)</t>
        </is>
      </c>
      <c r="E21" s="7" t="inlineStr">
        <is>
          <t>Manufacturing and Services separate</t>
        </is>
      </c>
    </row>
    <row r="22">
      <c r="A22" s="9" t="inlineStr">
        <is>
          <t>10Y Treasury / TIPS</t>
        </is>
      </c>
      <c r="B22" s="10" t="inlineStr">
        <is>
          <t>FRED</t>
        </is>
      </c>
      <c r="C22" s="10" t="inlineStr">
        <is>
          <t>https://fred.stlouisfed.org/series/DGS10</t>
        </is>
      </c>
      <c r="D22" s="10" t="inlineStr">
        <is>
          <t>Daily</t>
        </is>
      </c>
      <c r="E22" s="10" t="inlineStr">
        <is>
          <t>Real rate = nominal - breakeven</t>
        </is>
      </c>
    </row>
    <row r="23">
      <c r="A23" s="6" t="inlineStr">
        <is>
          <t>S&amp;P 500 Margins</t>
        </is>
      </c>
      <c r="B23" s="7" t="inlineStr">
        <is>
          <t>FactSet Earnings Insight</t>
        </is>
      </c>
      <c r="C23" s="7" t="inlineStr">
        <is>
          <t>https://www.factset.com/earningsinsight</t>
        </is>
      </c>
      <c r="D23" s="7" t="inlineStr">
        <is>
          <t>Weekly</t>
        </is>
      </c>
      <c r="E23" s="7" t="inlineStr">
        <is>
          <t>Free weekly PDF report</t>
        </is>
      </c>
    </row>
    <row r="24">
      <c r="A24" s="9" t="inlineStr">
        <is>
          <t>WARN Act Filings</t>
        </is>
      </c>
      <c r="B24" s="10" t="inlineStr">
        <is>
          <t>State DOL websites</t>
        </is>
      </c>
      <c r="C24" s="10" t="inlineStr">
        <is>
          <t>Varies by state</t>
        </is>
      </c>
      <c r="D24" s="10" t="inlineStr">
        <is>
          <t>As filed</t>
        </is>
      </c>
      <c r="E24" s="10" t="inlineStr">
        <is>
          <t>60-day advance notice for large layoffs</t>
        </is>
      </c>
    </row>
    <row r="25">
      <c r="A25" s="6" t="inlineStr">
        <is>
          <t>AI Company Valuations</t>
        </is>
      </c>
      <c r="B25" s="7" t="inlineStr">
        <is>
          <t>Crunchbase / PitchBook</t>
        </is>
      </c>
      <c r="C25" s="7" t="inlineStr">
        <is>
          <t>https://www.crunchbase.com/</t>
        </is>
      </c>
      <c r="D25" s="7" t="inlineStr">
        <is>
          <t>As rounds close</t>
        </is>
      </c>
      <c r="E25" s="7" t="inlineStr">
        <is>
          <t>Private company data, may require subscription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2026-05-27T12:20:19Z</dcterms:created>
  <dcterms:modified xmlns:dcterms="http://purl.org/dc/terms/" xmlns:xsi="http://www.w3.org/2001/XMLSchema-instance" xsi:type="dcterms:W3CDTF">2026-05-27T12:20:41Z</dcterms:modified>
</cp:coreProperties>
</file>